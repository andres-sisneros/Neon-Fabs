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puts" sheetId="2" r:id="rId2"/>
    <sheet name="Vehicles" sheetId="3" r:id="rId3"/>
    <sheet name="Routes" sheetId="4" r:id="rId4"/>
    <sheet name="Detection" sheetId="5" r:id="rId5"/>
    <sheet name="Combat Samples" sheetId="6" r:id="rId6"/>
    <sheet name="Mechanic Roadmap" sheetId="7" r:id="rId7"/>
  </sheets>
  <calcPr calcMode="auto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Neon Fabs Balance Model</t>
        </is>
      </c>
    </row>
    <row r="2">
      <c r="A2" t="inlineStr">
        <is>
          <t>Use this workbook to tune the first readable layer before adding modules or overdrives.</t>
        </is>
      </c>
    </row>
    <row r="3">
      <c r="A3" t="inlineStr">
        <is>
          <t>Recommended workflow</t>
        </is>
      </c>
    </row>
    <row r="4">
      <c r="A4" t="inlineStr">
        <is>
          <t>1. Change Inputs knobs.</t>
        </is>
      </c>
    </row>
    <row r="5">
      <c r="A5" t="inlineStr">
        <is>
          <t>2. Review Vehicles for class identity: Runner safe, Freighter profitable, Interceptor detects, Guardian protects.</t>
        </is>
      </c>
    </row>
    <row r="6">
      <c r="A6" t="inlineStr">
        <is>
          <t>3. Review Detection samples before combat samples.</t>
        </is>
      </c>
    </row>
    <row r="7">
      <c r="A7" t="inlineStr">
        <is>
          <t>4. Use Combat Samples as first-order estimates, then confirm in the Admin simulator.</t>
        </is>
      </c>
    </row>
    <row r="8">
      <c r="A8" t="inlineStr">
        <is>
          <t>5. Add one new mechanic layer only after the current layer is understandable.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Knob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Detection base</t>
        </is>
      </c>
      <c r="B2">
        <v>8</v>
      </c>
      <c r="C2" t="inlineStr">
        <is>
          <t>Starting percentage before vehicle stats</t>
        </is>
      </c>
    </row>
    <row r="3">
      <c r="A3" t="inlineStr">
        <is>
          <t>Sensor weight</t>
        </is>
      </c>
      <c r="B3">
        <v>0.45</v>
      </c>
      <c r="C3" t="inlineStr">
        <is>
          <t>Patrol Sensor contribution</t>
        </is>
      </c>
    </row>
    <row r="4">
      <c r="A4" t="inlineStr">
        <is>
          <t>Profile weight</t>
        </is>
      </c>
      <c r="B4">
        <v>0.65</v>
      </c>
      <c r="C4" t="inlineStr">
        <is>
          <t>Target Profile contribution</t>
        </is>
      </c>
    </row>
    <row r="5">
      <c r="A5" t="inlineStr">
        <is>
          <t>Extra cargo profile</t>
        </is>
      </c>
      <c r="B5">
        <v>5</v>
      </c>
      <c r="C5" t="inlineStr">
        <is>
          <t>Added per cargo unit after the first</t>
        </is>
      </c>
    </row>
    <row r="6">
      <c r="A6" t="inlineStr">
        <is>
          <t>Relative speed weight</t>
        </is>
      </c>
      <c r="B6">
        <v>0.2</v>
      </c>
      <c r="C6" t="inlineStr">
        <is>
          <t>Patrol mph minus target mph</t>
        </is>
      </c>
    </row>
    <row r="7">
      <c r="A7" t="inlineStr">
        <is>
          <t>Rarity evasion</t>
        </is>
      </c>
      <c r="B7">
        <v>3</v>
      </c>
      <c r="C7" t="inlineStr">
        <is>
          <t>Subtracted per target rarity rank</t>
        </is>
      </c>
    </row>
    <row r="8">
      <c r="A8" t="inlineStr">
        <is>
          <t>Detection min</t>
        </is>
      </c>
      <c r="B8">
        <v>5</v>
      </c>
      <c r="C8" t="inlineStr">
        <is>
          <t>Clamp floor</t>
        </is>
      </c>
    </row>
    <row r="9">
      <c r="A9" t="inlineStr">
        <is>
          <t>Detection max</t>
        </is>
      </c>
      <c r="B9">
        <v>95</v>
      </c>
      <c r="C9" t="inlineStr">
        <is>
          <t>Clamp ceiling</t>
        </is>
      </c>
    </row>
    <row r="10">
      <c r="A10" t="inlineStr">
        <is>
          <t>Integrity base</t>
        </is>
      </c>
      <c r="B10">
        <v>48</v>
      </c>
      <c r="C10" t="inlineStr">
        <is>
          <t>Base combat health</t>
        </is>
      </c>
    </row>
    <row r="11">
      <c r="A11" t="inlineStr">
        <is>
          <t>Durability to integrity</t>
        </is>
      </c>
      <c r="B11">
        <v>8</v>
      </c>
      <c r="C11" t="inlineStr">
        <is>
          <t>Durability multiplier</t>
        </is>
      </c>
    </row>
    <row r="12">
      <c r="A12" t="inlineStr">
        <is>
          <t>Capacity to integrity</t>
        </is>
      </c>
      <c r="B12">
        <v>9</v>
      </c>
      <c r="C12" t="inlineStr">
        <is>
          <t>Cargo slot multiplier</t>
        </is>
      </c>
    </row>
    <row r="13">
      <c r="A13" t="inlineStr">
        <is>
          <t>Rarity to integrity</t>
        </is>
      </c>
      <c r="B13">
        <v>16</v>
      </c>
      <c r="C13" t="inlineStr">
        <is>
          <t>Rarity rank multiplier</t>
        </is>
      </c>
    </row>
    <row r="14">
      <c r="A14" t="inlineStr">
        <is>
          <t>Cargo role integrity</t>
        </is>
      </c>
      <c r="B14">
        <v>36</v>
      </c>
      <c r="C14" t="inlineStr">
        <is>
          <t>Bonus for cargo vehicle in battle</t>
        </is>
      </c>
    </row>
    <row r="15">
      <c r="A15" t="inlineStr">
        <is>
          <t>Escort role integrity</t>
        </is>
      </c>
      <c r="B15">
        <v>18</v>
      </c>
      <c r="C15" t="inlineStr">
        <is>
          <t>Bonus for escort role</t>
        </is>
      </c>
    </row>
    <row r="16">
      <c r="A16" t="inlineStr">
        <is>
          <t>Battle speed base</t>
        </is>
      </c>
      <c r="B16">
        <v>8</v>
      </c>
      <c r="C16" t="inlineStr">
        <is>
          <t>Base initiative speed</t>
        </is>
      </c>
    </row>
    <row r="17">
      <c r="A17" t="inlineStr">
        <is>
          <t>MPH to battle speed</t>
        </is>
      </c>
      <c r="B17">
        <v>0.52</v>
      </c>
      <c r="C17" t="inlineStr">
        <is>
          <t>MPH multiplier</t>
        </is>
      </c>
    </row>
    <row r="18">
      <c r="A18" t="inlineStr">
        <is>
          <t>Rarity to battle speed</t>
        </is>
      </c>
      <c r="B18">
        <v>2</v>
      </c>
      <c r="C18" t="inlineStr">
        <is>
          <t>Rarity rank multiplier</t>
        </is>
      </c>
    </row>
    <row r="19">
      <c r="A19" t="inlineStr">
        <is>
          <t>Cargo load speed penalty</t>
        </is>
      </c>
      <c r="B19">
        <v>3</v>
      </c>
      <c r="C19" t="inlineStr">
        <is>
          <t>Penalty per cargo unit after first</t>
        </is>
      </c>
    </row>
    <row r="20">
      <c r="A20" t="inlineStr">
        <is>
          <t>Attack score mph</t>
        </is>
      </c>
      <c r="B20">
        <v>0.5</v>
      </c>
      <c r="C20" t="inlineStr">
        <is>
          <t>MPH contribution before impact</t>
        </is>
      </c>
    </row>
    <row r="21">
      <c r="A21" t="inlineStr">
        <is>
          <t>Attack score durability</t>
        </is>
      </c>
      <c r="B21">
        <v>1.6</v>
      </c>
      <c r="C21" t="inlineStr">
        <is>
          <t>Durability contribution before impact</t>
        </is>
      </c>
    </row>
    <row r="22">
      <c r="A22" t="inlineStr">
        <is>
          <t>Attack score rarity</t>
        </is>
      </c>
      <c r="B22">
        <v>6</v>
      </c>
      <c r="C22" t="inlineStr">
        <is>
          <t>Rarity rank contribution before impact</t>
        </is>
      </c>
    </row>
    <row r="23">
      <c r="A23" t="inlineStr">
        <is>
          <t>Impact base</t>
        </is>
      </c>
      <c r="B23">
        <v>4</v>
      </c>
      <c r="C23" t="inlineStr">
        <is>
          <t>Base combat damage</t>
        </is>
      </c>
    </row>
    <row r="24">
      <c r="A24" t="inlineStr">
        <is>
          <t>Attack score to impact</t>
        </is>
      </c>
      <c r="B24">
        <v>0.38</v>
      </c>
      <c r="C24" t="inlineStr">
        <is>
          <t>Attack score multiplier</t>
        </is>
      </c>
    </row>
    <row r="25">
      <c r="A25" t="inlineStr">
        <is>
          <t>Cargo role impact</t>
        </is>
      </c>
      <c r="B25">
        <v>-4</v>
      </c>
      <c r="C25" t="inlineStr">
        <is>
          <t>Cargo vehicles hit less hard</t>
        </is>
      </c>
    </row>
    <row r="26">
      <c r="A26" t="inlineStr">
        <is>
          <t>Escort role impact</t>
        </is>
      </c>
      <c r="B26">
        <v>-1</v>
      </c>
      <c r="C26" t="inlineStr">
        <is>
          <t>Escort impact adjustment</t>
        </is>
      </c>
    </row>
    <row r="27">
      <c r="A27" t="inlineStr">
        <is>
          <t>Support role impact</t>
        </is>
      </c>
      <c r="B27">
        <v>-2</v>
      </c>
      <c r="C27" t="inlineStr">
        <is>
          <t>Support impact adjustment</t>
        </is>
      </c>
    </row>
    <row r="28">
      <c r="A28" t="inlineStr">
        <is>
          <t>Escape base</t>
        </is>
      </c>
      <c r="B28">
        <v>10</v>
      </c>
      <c r="C28" t="inlineStr">
        <is>
          <t>Base cargo escape gain</t>
        </is>
      </c>
    </row>
    <row r="29">
      <c r="A29" t="inlineStr">
        <is>
          <t>Speed to escape</t>
        </is>
      </c>
      <c r="B29">
        <v>0.32</v>
      </c>
      <c r="C29" t="inlineStr">
        <is>
          <t>Cargo battle speed multiplier</t>
        </is>
      </c>
    </row>
    <row r="30">
      <c r="A30" t="inlineStr">
        <is>
          <t>Evade tactic bonus</t>
        </is>
      </c>
      <c r="B30">
        <v>8</v>
      </c>
      <c r="C30" t="inlineStr">
        <is>
          <t>Escape bonus for Prioritize Escape</t>
        </is>
      </c>
    </row>
    <row r="31">
      <c r="A31" t="inlineStr">
        <is>
          <t>Cargo load escape penalty</t>
        </is>
      </c>
      <c r="B31">
        <v>2</v>
      </c>
      <c r="C31" t="inlineStr">
        <is>
          <t>Escape penalty per cargo unit after first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Class</t>
        </is>
      </c>
      <c r="D1" t="inlineStr">
        <is>
          <t>Rarity</t>
        </is>
      </c>
      <c r="E1" t="inlineStr">
        <is>
          <t>Rarity Rank</t>
        </is>
      </c>
      <c r="F1" t="inlineStr">
        <is>
          <t>Value</t>
        </is>
      </c>
      <c r="G1" t="inlineStr">
        <is>
          <t>Cargo</t>
        </is>
      </c>
      <c r="H1" t="inlineStr">
        <is>
          <t>MPH</t>
        </is>
      </c>
      <c r="I1" t="inlineStr">
        <is>
          <t>Durability</t>
        </is>
      </c>
      <c r="J1" t="inlineStr">
        <is>
          <t>Profile</t>
        </is>
      </c>
      <c r="K1" t="inlineStr">
        <is>
          <t>Profile Band</t>
        </is>
      </c>
      <c r="L1" t="inlineStr">
        <is>
          <t>Sensor</t>
        </is>
      </c>
      <c r="M1" t="inlineStr">
        <is>
          <t>Cargo Integrity</t>
        </is>
      </c>
      <c r="N1" t="inlineStr">
        <is>
          <t>Battle Speed</t>
        </is>
      </c>
      <c r="O1" t="inlineStr">
        <is>
          <t>Impact</t>
        </is>
      </c>
    </row>
    <row r="2">
      <c r="A2" t="inlineStr">
        <is>
          <t>Common Runner</t>
        </is>
      </c>
      <c r="B2" t="inlineStr">
        <is>
          <t>land</t>
        </is>
      </c>
      <c r="C2" t="inlineStr">
        <is>
          <t>Runner</t>
        </is>
      </c>
      <c r="D2" t="inlineStr">
        <is>
          <t>Common</t>
        </is>
      </c>
      <c r="E2">
        <v>0</v>
      </c>
      <c r="F2">
        <v>70</v>
      </c>
      <c r="G2">
        <v>1</v>
      </c>
      <c r="H2">
        <v>38</v>
      </c>
      <c r="I2">
        <v>5</v>
      </c>
      <c r="J2">
        <v>22</v>
      </c>
      <c r="K2" t="inlineStr">
        <is>
          <t>Low</t>
        </is>
      </c>
      <c r="L2">
        <v>24</v>
      </c>
      <c r="M2">
        <f>ROUND(Inputs!$B$10+J2*Inputs!$B$11+G2*Inputs!$B$12+E2*Inputs!$B$13+Inputs!$B$14,0)</f>
      </c>
      <c r="N2">
        <f>MAX(6,ROUND(Inputs!$B$16+H2*Inputs!$B$17+E2*Inputs!$B$18,0))</f>
      </c>
      <c r="O2">
        <f>MAX(1,ROUND(Inputs!$B$23+(H2*Inputs!$B$20+J2*Inputs!$B$21+E2*Inputs!$B$22)*Inputs!$B$24,0))</f>
      </c>
    </row>
    <row r="3">
      <c r="A3" t="inlineStr">
        <is>
          <t>Uncommon Runner</t>
        </is>
      </c>
      <c r="B3" t="inlineStr">
        <is>
          <t>land</t>
        </is>
      </c>
      <c r="C3" t="inlineStr">
        <is>
          <t>Runner</t>
        </is>
      </c>
      <c r="D3" t="inlineStr">
        <is>
          <t>Uncommon</t>
        </is>
      </c>
      <c r="E3">
        <v>1</v>
      </c>
      <c r="F3">
        <v>260</v>
      </c>
      <c r="G3">
        <v>1</v>
      </c>
      <c r="H3">
        <v>52</v>
      </c>
      <c r="I3">
        <v>8</v>
      </c>
      <c r="J3">
        <v>19</v>
      </c>
      <c r="K3" t="inlineStr">
        <is>
          <t>Low</t>
        </is>
      </c>
      <c r="L3">
        <v>29</v>
      </c>
      <c r="M3">
        <f>ROUND(Inputs!$B$10+J3*Inputs!$B$11+G3*Inputs!$B$12+E3*Inputs!$B$13+Inputs!$B$14,0)</f>
      </c>
      <c r="N3">
        <f>MAX(6,ROUND(Inputs!$B$16+H3*Inputs!$B$17+E3*Inputs!$B$18,0))</f>
      </c>
      <c r="O3">
        <f>MAX(1,ROUND(Inputs!$B$23+(H3*Inputs!$B$20+J3*Inputs!$B$21+E3*Inputs!$B$22)*Inputs!$B$24,0))</f>
      </c>
    </row>
    <row r="4">
      <c r="A4" t="inlineStr">
        <is>
          <t>Rare Runner</t>
        </is>
      </c>
      <c r="B4" t="inlineStr">
        <is>
          <t>land</t>
        </is>
      </c>
      <c r="C4" t="inlineStr">
        <is>
          <t>Runner</t>
        </is>
      </c>
      <c r="D4" t="inlineStr">
        <is>
          <t>Rare</t>
        </is>
      </c>
      <c r="E4">
        <v>2</v>
      </c>
      <c r="F4">
        <v>860</v>
      </c>
      <c r="G4">
        <v>2</v>
      </c>
      <c r="H4">
        <v>62</v>
      </c>
      <c r="I4">
        <v>11</v>
      </c>
      <c r="J4">
        <v>16</v>
      </c>
      <c r="K4" t="inlineStr">
        <is>
          <t>Low</t>
        </is>
      </c>
      <c r="L4">
        <v>34</v>
      </c>
      <c r="M4">
        <f>ROUND(Inputs!$B$10+J4*Inputs!$B$11+G4*Inputs!$B$12+E4*Inputs!$B$13+Inputs!$B$14,0)</f>
      </c>
      <c r="N4">
        <f>MAX(6,ROUND(Inputs!$B$16+H4*Inputs!$B$17+E4*Inputs!$B$18,0))</f>
      </c>
      <c r="O4">
        <f>MAX(1,ROUND(Inputs!$B$23+(H4*Inputs!$B$20+J4*Inputs!$B$21+E4*Inputs!$B$22)*Inputs!$B$24,0))</f>
      </c>
    </row>
    <row r="5">
      <c r="A5" t="inlineStr">
        <is>
          <t>Epic Runner</t>
        </is>
      </c>
      <c r="B5" t="inlineStr">
        <is>
          <t>land</t>
        </is>
      </c>
      <c r="C5" t="inlineStr">
        <is>
          <t>Runner</t>
        </is>
      </c>
      <c r="D5" t="inlineStr">
        <is>
          <t>Epic</t>
        </is>
      </c>
      <c r="E5">
        <v>3</v>
      </c>
      <c r="F5">
        <v>2800</v>
      </c>
      <c r="G5">
        <v>2</v>
      </c>
      <c r="H5">
        <v>78</v>
      </c>
      <c r="I5">
        <v>16</v>
      </c>
      <c r="J5">
        <v>13</v>
      </c>
      <c r="K5" t="inlineStr">
        <is>
          <t>Low</t>
        </is>
      </c>
      <c r="L5">
        <v>39</v>
      </c>
      <c r="M5">
        <f>ROUND(Inputs!$B$10+J5*Inputs!$B$11+G5*Inputs!$B$12+E5*Inputs!$B$13+Inputs!$B$14,0)</f>
      </c>
      <c r="N5">
        <f>MAX(6,ROUND(Inputs!$B$16+H5*Inputs!$B$17+E5*Inputs!$B$18,0))</f>
      </c>
      <c r="O5">
        <f>MAX(1,ROUND(Inputs!$B$23+(H5*Inputs!$B$20+J5*Inputs!$B$21+E5*Inputs!$B$22)*Inputs!$B$24,0))</f>
      </c>
    </row>
    <row r="6">
      <c r="A6" t="inlineStr">
        <is>
          <t>Legendary Runner</t>
        </is>
      </c>
      <c r="B6" t="inlineStr">
        <is>
          <t>land</t>
        </is>
      </c>
      <c r="C6" t="inlineStr">
        <is>
          <t>Runner</t>
        </is>
      </c>
      <c r="D6" t="inlineStr">
        <is>
          <t>Legendary</t>
        </is>
      </c>
      <c r="E6">
        <v>4</v>
      </c>
      <c r="F6">
        <v>8200</v>
      </c>
      <c r="G6">
        <v>3</v>
      </c>
      <c r="H6">
        <v>96</v>
      </c>
      <c r="I6">
        <v>24</v>
      </c>
      <c r="J6">
        <v>10</v>
      </c>
      <c r="K6" t="inlineStr">
        <is>
          <t>Low</t>
        </is>
      </c>
      <c r="L6">
        <v>44</v>
      </c>
      <c r="M6">
        <f>ROUND(Inputs!$B$10+J6*Inputs!$B$11+G6*Inputs!$B$12+E6*Inputs!$B$13+Inputs!$B$14,0)</f>
      </c>
      <c r="N6">
        <f>MAX(6,ROUND(Inputs!$B$16+H6*Inputs!$B$17+E6*Inputs!$B$18,0))</f>
      </c>
      <c r="O6">
        <f>MAX(1,ROUND(Inputs!$B$23+(H6*Inputs!$B$20+J6*Inputs!$B$21+E6*Inputs!$B$22)*Inputs!$B$24,0))</f>
      </c>
    </row>
    <row r="7">
      <c r="A7" t="inlineStr">
        <is>
          <t>Common Freighter</t>
        </is>
      </c>
      <c r="B7" t="inlineStr">
        <is>
          <t>land</t>
        </is>
      </c>
      <c r="C7" t="inlineStr">
        <is>
          <t>Freighter</t>
        </is>
      </c>
      <c r="D7" t="inlineStr">
        <is>
          <t>Common</t>
        </is>
      </c>
      <c r="E7">
        <v>0</v>
      </c>
      <c r="F7">
        <v>90</v>
      </c>
      <c r="G7">
        <v>2</v>
      </c>
      <c r="H7">
        <v>26</v>
      </c>
      <c r="I7">
        <v>7</v>
      </c>
      <c r="J7">
        <v>58</v>
      </c>
      <c r="K7" t="inlineStr">
        <is>
          <t>High</t>
        </is>
      </c>
      <c r="L7">
        <v>14</v>
      </c>
      <c r="M7">
        <f>ROUND(Inputs!$B$10+J7*Inputs!$B$11+G7*Inputs!$B$12+E7*Inputs!$B$13+Inputs!$B$14,0)</f>
      </c>
      <c r="N7">
        <f>MAX(6,ROUND(Inputs!$B$16+H7*Inputs!$B$17+E7*Inputs!$B$18,0))</f>
      </c>
      <c r="O7">
        <f>MAX(1,ROUND(Inputs!$B$23+(H7*Inputs!$B$20+J7*Inputs!$B$21+E7*Inputs!$B$22)*Inputs!$B$24,0))</f>
      </c>
    </row>
    <row r="8">
      <c r="A8" t="inlineStr">
        <is>
          <t>Uncommon Freighter</t>
        </is>
      </c>
      <c r="B8" t="inlineStr">
        <is>
          <t>land</t>
        </is>
      </c>
      <c r="C8" t="inlineStr">
        <is>
          <t>Freighter</t>
        </is>
      </c>
      <c r="D8" t="inlineStr">
        <is>
          <t>Uncommon</t>
        </is>
      </c>
      <c r="E8">
        <v>1</v>
      </c>
      <c r="F8">
        <v>320</v>
      </c>
      <c r="G8">
        <v>2</v>
      </c>
      <c r="H8">
        <v>36</v>
      </c>
      <c r="I8">
        <v>10</v>
      </c>
      <c r="J8">
        <v>55</v>
      </c>
      <c r="K8" t="inlineStr">
        <is>
          <t>High</t>
        </is>
      </c>
      <c r="L8">
        <v>19</v>
      </c>
      <c r="M8">
        <f>ROUND(Inputs!$B$10+J8*Inputs!$B$11+G8*Inputs!$B$12+E8*Inputs!$B$13+Inputs!$B$14,0)</f>
      </c>
      <c r="N8">
        <f>MAX(6,ROUND(Inputs!$B$16+H8*Inputs!$B$17+E8*Inputs!$B$18,0))</f>
      </c>
      <c r="O8">
        <f>MAX(1,ROUND(Inputs!$B$23+(H8*Inputs!$B$20+J8*Inputs!$B$21+E8*Inputs!$B$22)*Inputs!$B$24,0))</f>
      </c>
    </row>
    <row r="9">
      <c r="A9" t="inlineStr">
        <is>
          <t>Rare Freighter</t>
        </is>
      </c>
      <c r="B9" t="inlineStr">
        <is>
          <t>land</t>
        </is>
      </c>
      <c r="C9" t="inlineStr">
        <is>
          <t>Freighter</t>
        </is>
      </c>
      <c r="D9" t="inlineStr">
        <is>
          <t>Rare</t>
        </is>
      </c>
      <c r="E9">
        <v>2</v>
      </c>
      <c r="F9">
        <v>900</v>
      </c>
      <c r="G9">
        <v>3</v>
      </c>
      <c r="H9">
        <v>48</v>
      </c>
      <c r="I9">
        <v>14</v>
      </c>
      <c r="J9">
        <v>52</v>
      </c>
      <c r="K9" t="inlineStr">
        <is>
          <t>High</t>
        </is>
      </c>
      <c r="L9">
        <v>24</v>
      </c>
      <c r="M9">
        <f>ROUND(Inputs!$B$10+J9*Inputs!$B$11+G9*Inputs!$B$12+E9*Inputs!$B$13+Inputs!$B$14,0)</f>
      </c>
      <c r="N9">
        <f>MAX(6,ROUND(Inputs!$B$16+H9*Inputs!$B$17+E9*Inputs!$B$18,0))</f>
      </c>
      <c r="O9">
        <f>MAX(1,ROUND(Inputs!$B$23+(H9*Inputs!$B$20+J9*Inputs!$B$21+E9*Inputs!$B$22)*Inputs!$B$24,0))</f>
      </c>
    </row>
    <row r="10">
      <c r="A10" t="inlineStr">
        <is>
          <t>Epic Freighter</t>
        </is>
      </c>
      <c r="B10" t="inlineStr">
        <is>
          <t>land</t>
        </is>
      </c>
      <c r="C10" t="inlineStr">
        <is>
          <t>Freighter</t>
        </is>
      </c>
      <c r="D10" t="inlineStr">
        <is>
          <t>Epic</t>
        </is>
      </c>
      <c r="E10">
        <v>3</v>
      </c>
      <c r="F10">
        <v>3100</v>
      </c>
      <c r="G10">
        <v>4</v>
      </c>
      <c r="H10">
        <v>54</v>
      </c>
      <c r="I10">
        <v>19</v>
      </c>
      <c r="J10">
        <v>49</v>
      </c>
      <c r="K10" t="inlineStr">
        <is>
          <t>High</t>
        </is>
      </c>
      <c r="L10">
        <v>29</v>
      </c>
      <c r="M10">
        <f>ROUND(Inputs!$B$10+J10*Inputs!$B$11+G10*Inputs!$B$12+E10*Inputs!$B$13+Inputs!$B$14,0)</f>
      </c>
      <c r="N10">
        <f>MAX(6,ROUND(Inputs!$B$16+H10*Inputs!$B$17+E10*Inputs!$B$18,0))</f>
      </c>
      <c r="O10">
        <f>MAX(1,ROUND(Inputs!$B$23+(H10*Inputs!$B$20+J10*Inputs!$B$21+E10*Inputs!$B$22)*Inputs!$B$24,0))</f>
      </c>
    </row>
    <row r="11">
      <c r="A11" t="inlineStr">
        <is>
          <t>Legendary Freighter</t>
        </is>
      </c>
      <c r="B11" t="inlineStr">
        <is>
          <t>land</t>
        </is>
      </c>
      <c r="C11" t="inlineStr">
        <is>
          <t>Freighter</t>
        </is>
      </c>
      <c r="D11" t="inlineStr">
        <is>
          <t>Legendary</t>
        </is>
      </c>
      <c r="E11">
        <v>4</v>
      </c>
      <c r="F11">
        <v>9000</v>
      </c>
      <c r="G11">
        <v>5</v>
      </c>
      <c r="H11">
        <v>68</v>
      </c>
      <c r="I11">
        <v>28</v>
      </c>
      <c r="J11">
        <v>46</v>
      </c>
      <c r="K11" t="inlineStr">
        <is>
          <t>Medium</t>
        </is>
      </c>
      <c r="L11">
        <v>34</v>
      </c>
      <c r="M11">
        <f>ROUND(Inputs!$B$10+J11*Inputs!$B$11+G11*Inputs!$B$12+E11*Inputs!$B$13+Inputs!$B$14,0)</f>
      </c>
      <c r="N11">
        <f>MAX(6,ROUND(Inputs!$B$16+H11*Inputs!$B$17+E11*Inputs!$B$18,0))</f>
      </c>
      <c r="O11">
        <f>MAX(1,ROUND(Inputs!$B$23+(H11*Inputs!$B$20+J11*Inputs!$B$21+E11*Inputs!$B$22)*Inputs!$B$24,0))</f>
      </c>
    </row>
    <row r="12">
      <c r="A12" t="inlineStr">
        <is>
          <t>Common Interceptor</t>
        </is>
      </c>
      <c r="B12" t="inlineStr">
        <is>
          <t>land</t>
        </is>
      </c>
      <c r="C12" t="inlineStr">
        <is>
          <t>Interceptor</t>
        </is>
      </c>
      <c r="D12" t="inlineStr">
        <is>
          <t>Common</t>
        </is>
      </c>
      <c r="E12">
        <v>0</v>
      </c>
      <c r="F12">
        <v>85</v>
      </c>
      <c r="G12">
        <v>1</v>
      </c>
      <c r="H12">
        <v>42</v>
      </c>
      <c r="I12">
        <v>4</v>
      </c>
      <c r="J12">
        <v>36</v>
      </c>
      <c r="K12" t="inlineStr">
        <is>
          <t>Medium</t>
        </is>
      </c>
      <c r="L12">
        <v>48</v>
      </c>
      <c r="M12">
        <f>ROUND(Inputs!$B$10+J12*Inputs!$B$11+G12*Inputs!$B$12+E12*Inputs!$B$13+Inputs!$B$14,0)</f>
      </c>
      <c r="N12">
        <f>MAX(6,ROUND(Inputs!$B$16+H12*Inputs!$B$17+E12*Inputs!$B$18,0))</f>
      </c>
      <c r="O12">
        <f>MAX(1,ROUND(Inputs!$B$23+(H12*Inputs!$B$20+J12*Inputs!$B$21+E12*Inputs!$B$22)*Inputs!$B$24,0))</f>
      </c>
    </row>
    <row r="13">
      <c r="A13" t="inlineStr">
        <is>
          <t>Uncommon Interceptor</t>
        </is>
      </c>
      <c r="B13" t="inlineStr">
        <is>
          <t>land</t>
        </is>
      </c>
      <c r="C13" t="inlineStr">
        <is>
          <t>Interceptor</t>
        </is>
      </c>
      <c r="D13" t="inlineStr">
        <is>
          <t>Uncommon</t>
        </is>
      </c>
      <c r="E13">
        <v>1</v>
      </c>
      <c r="F13">
        <v>300</v>
      </c>
      <c r="G13">
        <v>1</v>
      </c>
      <c r="H13">
        <v>56</v>
      </c>
      <c r="I13">
        <v>7</v>
      </c>
      <c r="J13">
        <v>33</v>
      </c>
      <c r="K13" t="inlineStr">
        <is>
          <t>Medium</t>
        </is>
      </c>
      <c r="L13">
        <v>53</v>
      </c>
      <c r="M13">
        <f>ROUND(Inputs!$B$10+J13*Inputs!$B$11+G13*Inputs!$B$12+E13*Inputs!$B$13+Inputs!$B$14,0)</f>
      </c>
      <c r="N13">
        <f>MAX(6,ROUND(Inputs!$B$16+H13*Inputs!$B$17+E13*Inputs!$B$18,0))</f>
      </c>
      <c r="O13">
        <f>MAX(1,ROUND(Inputs!$B$23+(H13*Inputs!$B$20+J13*Inputs!$B$21+E13*Inputs!$B$22)*Inputs!$B$24,0))</f>
      </c>
    </row>
    <row r="14">
      <c r="A14" t="inlineStr">
        <is>
          <t>Rare Interceptor</t>
        </is>
      </c>
      <c r="B14" t="inlineStr">
        <is>
          <t>land</t>
        </is>
      </c>
      <c r="C14" t="inlineStr">
        <is>
          <t>Interceptor</t>
        </is>
      </c>
      <c r="D14" t="inlineStr">
        <is>
          <t>Rare</t>
        </is>
      </c>
      <c r="E14">
        <v>2</v>
      </c>
      <c r="F14">
        <v>980</v>
      </c>
      <c r="G14">
        <v>1</v>
      </c>
      <c r="H14">
        <v>68</v>
      </c>
      <c r="I14">
        <v>10</v>
      </c>
      <c r="J14">
        <v>30</v>
      </c>
      <c r="K14" t="inlineStr">
        <is>
          <t>Medium</t>
        </is>
      </c>
      <c r="L14">
        <v>58</v>
      </c>
      <c r="M14">
        <f>ROUND(Inputs!$B$10+J14*Inputs!$B$11+G14*Inputs!$B$12+E14*Inputs!$B$13+Inputs!$B$14,0)</f>
      </c>
      <c r="N14">
        <f>MAX(6,ROUND(Inputs!$B$16+H14*Inputs!$B$17+E14*Inputs!$B$18,0))</f>
      </c>
      <c r="O14">
        <f>MAX(1,ROUND(Inputs!$B$23+(H14*Inputs!$B$20+J14*Inputs!$B$21+E14*Inputs!$B$22)*Inputs!$B$24,0))</f>
      </c>
    </row>
    <row r="15">
      <c r="A15" t="inlineStr">
        <is>
          <t>Epic Interceptor</t>
        </is>
      </c>
      <c r="B15" t="inlineStr">
        <is>
          <t>land</t>
        </is>
      </c>
      <c r="C15" t="inlineStr">
        <is>
          <t>Interceptor</t>
        </is>
      </c>
      <c r="D15" t="inlineStr">
        <is>
          <t>Epic</t>
        </is>
      </c>
      <c r="E15">
        <v>3</v>
      </c>
      <c r="F15">
        <v>3300</v>
      </c>
      <c r="G15">
        <v>2</v>
      </c>
      <c r="H15">
        <v>84</v>
      </c>
      <c r="I15">
        <v>14</v>
      </c>
      <c r="J15">
        <v>27</v>
      </c>
      <c r="K15" t="inlineStr">
        <is>
          <t>Low</t>
        </is>
      </c>
      <c r="L15">
        <v>63</v>
      </c>
      <c r="M15">
        <f>ROUND(Inputs!$B$10+J15*Inputs!$B$11+G15*Inputs!$B$12+E15*Inputs!$B$13+Inputs!$B$14,0)</f>
      </c>
      <c r="N15">
        <f>MAX(6,ROUND(Inputs!$B$16+H15*Inputs!$B$17+E15*Inputs!$B$18,0))</f>
      </c>
      <c r="O15">
        <f>MAX(1,ROUND(Inputs!$B$23+(H15*Inputs!$B$20+J15*Inputs!$B$21+E15*Inputs!$B$22)*Inputs!$B$24,0))</f>
      </c>
    </row>
    <row r="16">
      <c r="A16" t="inlineStr">
        <is>
          <t>Legendary Interceptor</t>
        </is>
      </c>
      <c r="B16" t="inlineStr">
        <is>
          <t>land</t>
        </is>
      </c>
      <c r="C16" t="inlineStr">
        <is>
          <t>Interceptor</t>
        </is>
      </c>
      <c r="D16" t="inlineStr">
        <is>
          <t>Legendary</t>
        </is>
      </c>
      <c r="E16">
        <v>4</v>
      </c>
      <c r="F16">
        <v>9800</v>
      </c>
      <c r="G16">
        <v>2</v>
      </c>
      <c r="H16">
        <v>104</v>
      </c>
      <c r="I16">
        <v>22</v>
      </c>
      <c r="J16">
        <v>24</v>
      </c>
      <c r="K16" t="inlineStr">
        <is>
          <t>Low</t>
        </is>
      </c>
      <c r="L16">
        <v>68</v>
      </c>
      <c r="M16">
        <f>ROUND(Inputs!$B$10+J16*Inputs!$B$11+G16*Inputs!$B$12+E16*Inputs!$B$13+Inputs!$B$14,0)</f>
      </c>
      <c r="N16">
        <f>MAX(6,ROUND(Inputs!$B$16+H16*Inputs!$B$17+E16*Inputs!$B$18,0))</f>
      </c>
      <c r="O16">
        <f>MAX(1,ROUND(Inputs!$B$23+(H16*Inputs!$B$20+J16*Inputs!$B$21+E16*Inputs!$B$22)*Inputs!$B$24,0))</f>
      </c>
    </row>
    <row r="17">
      <c r="A17" t="inlineStr">
        <is>
          <t>Common Guardian</t>
        </is>
      </c>
      <c r="B17" t="inlineStr">
        <is>
          <t>land</t>
        </is>
      </c>
      <c r="C17" t="inlineStr">
        <is>
          <t>Guardian</t>
        </is>
      </c>
      <c r="D17" t="inlineStr">
        <is>
          <t>Common</t>
        </is>
      </c>
      <c r="E17">
        <v>0</v>
      </c>
      <c r="F17">
        <v>80</v>
      </c>
      <c r="G17">
        <v>1</v>
      </c>
      <c r="H17">
        <v>30</v>
      </c>
      <c r="I17">
        <v>8</v>
      </c>
      <c r="J17">
        <v>46</v>
      </c>
      <c r="K17" t="inlineStr">
        <is>
          <t>Medium</t>
        </is>
      </c>
      <c r="L17">
        <v>30</v>
      </c>
      <c r="M17">
        <f>ROUND(Inputs!$B$10+J17*Inputs!$B$11+G17*Inputs!$B$12+E17*Inputs!$B$13+Inputs!$B$14,0)</f>
      </c>
      <c r="N17">
        <f>MAX(6,ROUND(Inputs!$B$16+H17*Inputs!$B$17+E17*Inputs!$B$18,0))</f>
      </c>
      <c r="O17">
        <f>MAX(1,ROUND(Inputs!$B$23+(H17*Inputs!$B$20+J17*Inputs!$B$21+E17*Inputs!$B$22)*Inputs!$B$24,0))</f>
      </c>
    </row>
    <row r="18">
      <c r="A18" t="inlineStr">
        <is>
          <t>Uncommon Guardian</t>
        </is>
      </c>
      <c r="B18" t="inlineStr">
        <is>
          <t>land</t>
        </is>
      </c>
      <c r="C18" t="inlineStr">
        <is>
          <t>Guardian</t>
        </is>
      </c>
      <c r="D18" t="inlineStr">
        <is>
          <t>Uncommon</t>
        </is>
      </c>
      <c r="E18">
        <v>1</v>
      </c>
      <c r="F18">
        <v>280</v>
      </c>
      <c r="G18">
        <v>1</v>
      </c>
      <c r="H18">
        <v>40</v>
      </c>
      <c r="I18">
        <v>12</v>
      </c>
      <c r="J18">
        <v>43</v>
      </c>
      <c r="K18" t="inlineStr">
        <is>
          <t>Medium</t>
        </is>
      </c>
      <c r="L18">
        <v>35</v>
      </c>
      <c r="M18">
        <f>ROUND(Inputs!$B$10+J18*Inputs!$B$11+G18*Inputs!$B$12+E18*Inputs!$B$13+Inputs!$B$14,0)</f>
      </c>
      <c r="N18">
        <f>MAX(6,ROUND(Inputs!$B$16+H18*Inputs!$B$17+E18*Inputs!$B$18,0))</f>
      </c>
      <c r="O18">
        <f>MAX(1,ROUND(Inputs!$B$23+(H18*Inputs!$B$20+J18*Inputs!$B$21+E18*Inputs!$B$22)*Inputs!$B$24,0))</f>
      </c>
    </row>
    <row r="19">
      <c r="A19" t="inlineStr">
        <is>
          <t>Rare Guardian</t>
        </is>
      </c>
      <c r="B19" t="inlineStr">
        <is>
          <t>land</t>
        </is>
      </c>
      <c r="C19" t="inlineStr">
        <is>
          <t>Guardian</t>
        </is>
      </c>
      <c r="D19" t="inlineStr">
        <is>
          <t>Rare</t>
        </is>
      </c>
      <c r="E19">
        <v>2</v>
      </c>
      <c r="F19">
        <v>920</v>
      </c>
      <c r="G19">
        <v>2</v>
      </c>
      <c r="H19">
        <v>46</v>
      </c>
      <c r="I19">
        <v>17</v>
      </c>
      <c r="J19">
        <v>40</v>
      </c>
      <c r="K19" t="inlineStr">
        <is>
          <t>Medium</t>
        </is>
      </c>
      <c r="L19">
        <v>40</v>
      </c>
      <c r="M19">
        <f>ROUND(Inputs!$B$10+J19*Inputs!$B$11+G19*Inputs!$B$12+E19*Inputs!$B$13+Inputs!$B$14,0)</f>
      </c>
      <c r="N19">
        <f>MAX(6,ROUND(Inputs!$B$16+H19*Inputs!$B$17+E19*Inputs!$B$18,0))</f>
      </c>
      <c r="O19">
        <f>MAX(1,ROUND(Inputs!$B$23+(H19*Inputs!$B$20+J19*Inputs!$B$21+E19*Inputs!$B$22)*Inputs!$B$24,0))</f>
      </c>
    </row>
    <row r="20">
      <c r="A20" t="inlineStr">
        <is>
          <t>Epic Guardian</t>
        </is>
      </c>
      <c r="B20" t="inlineStr">
        <is>
          <t>land</t>
        </is>
      </c>
      <c r="C20" t="inlineStr">
        <is>
          <t>Guardian</t>
        </is>
      </c>
      <c r="D20" t="inlineStr">
        <is>
          <t>Epic</t>
        </is>
      </c>
      <c r="E20">
        <v>3</v>
      </c>
      <c r="F20">
        <v>3000</v>
      </c>
      <c r="G20">
        <v>2</v>
      </c>
      <c r="H20">
        <v>58</v>
      </c>
      <c r="I20">
        <v>22</v>
      </c>
      <c r="J20">
        <v>37</v>
      </c>
      <c r="K20" t="inlineStr">
        <is>
          <t>Medium</t>
        </is>
      </c>
      <c r="L20">
        <v>45</v>
      </c>
      <c r="M20">
        <f>ROUND(Inputs!$B$10+J20*Inputs!$B$11+G20*Inputs!$B$12+E20*Inputs!$B$13+Inputs!$B$14,0)</f>
      </c>
      <c r="N20">
        <f>MAX(6,ROUND(Inputs!$B$16+H20*Inputs!$B$17+E20*Inputs!$B$18,0))</f>
      </c>
      <c r="O20">
        <f>MAX(1,ROUND(Inputs!$B$23+(H20*Inputs!$B$20+J20*Inputs!$B$21+E20*Inputs!$B$22)*Inputs!$B$24,0))</f>
      </c>
    </row>
    <row r="21">
      <c r="A21" t="inlineStr">
        <is>
          <t>Legendary Guardian</t>
        </is>
      </c>
      <c r="B21" t="inlineStr">
        <is>
          <t>land</t>
        </is>
      </c>
      <c r="C21" t="inlineStr">
        <is>
          <t>Guardian</t>
        </is>
      </c>
      <c r="D21" t="inlineStr">
        <is>
          <t>Legendary</t>
        </is>
      </c>
      <c r="E21">
        <v>4</v>
      </c>
      <c r="F21">
        <v>8800</v>
      </c>
      <c r="G21">
        <v>3</v>
      </c>
      <c r="H21">
        <v>70</v>
      </c>
      <c r="I21">
        <v>32</v>
      </c>
      <c r="J21">
        <v>34</v>
      </c>
      <c r="K21" t="inlineStr">
        <is>
          <t>Medium</t>
        </is>
      </c>
      <c r="L21">
        <v>50</v>
      </c>
      <c r="M21">
        <f>ROUND(Inputs!$B$10+J21*Inputs!$B$11+G21*Inputs!$B$12+E21*Inputs!$B$13+Inputs!$B$14,0)</f>
      </c>
      <c r="N21">
        <f>MAX(6,ROUND(Inputs!$B$16+H21*Inputs!$B$17+E21*Inputs!$B$18,0))</f>
      </c>
      <c r="O21">
        <f>MAX(1,ROUND(Inputs!$B$23+(H21*Inputs!$B$20+J21*Inputs!$B$21+E21*Inputs!$B$22)*Inputs!$B$24,0))</f>
      </c>
    </row>
    <row r="22">
      <c r="A22" t="inlineStr">
        <is>
          <t>Common Water Runner</t>
        </is>
      </c>
      <c r="B22" t="inlineStr">
        <is>
          <t>water</t>
        </is>
      </c>
      <c r="C22" t="inlineStr">
        <is>
          <t>Runner</t>
        </is>
      </c>
      <c r="D22" t="inlineStr">
        <is>
          <t>Common</t>
        </is>
      </c>
      <c r="E22">
        <v>0</v>
      </c>
      <c r="F22">
        <v>120</v>
      </c>
      <c r="G22">
        <v>1</v>
      </c>
      <c r="H22">
        <v>28</v>
      </c>
      <c r="I22">
        <v>5</v>
      </c>
      <c r="J22">
        <v>26</v>
      </c>
      <c r="K22" t="inlineStr">
        <is>
          <t>Low</t>
        </is>
      </c>
      <c r="L22">
        <v>26</v>
      </c>
      <c r="M22">
        <f>ROUND(Inputs!$B$10+J22*Inputs!$B$11+G22*Inputs!$B$12+E22*Inputs!$B$13+Inputs!$B$14,0)</f>
      </c>
      <c r="N22">
        <f>MAX(6,ROUND(Inputs!$B$16+H22*Inputs!$B$17+E22*Inputs!$B$18,0))</f>
      </c>
      <c r="O22">
        <f>MAX(1,ROUND(Inputs!$B$23+(H22*Inputs!$B$20+J22*Inputs!$B$21+E22*Inputs!$B$22)*Inputs!$B$24,0))</f>
      </c>
    </row>
    <row r="23">
      <c r="A23" t="inlineStr">
        <is>
          <t>Uncommon Water Runner</t>
        </is>
      </c>
      <c r="B23" t="inlineStr">
        <is>
          <t>water</t>
        </is>
      </c>
      <c r="C23" t="inlineStr">
        <is>
          <t>Runner</t>
        </is>
      </c>
      <c r="D23" t="inlineStr">
        <is>
          <t>Uncommon</t>
        </is>
      </c>
      <c r="E23">
        <v>1</v>
      </c>
      <c r="F23">
        <v>360</v>
      </c>
      <c r="G23">
        <v>1</v>
      </c>
      <c r="H23">
        <v>38</v>
      </c>
      <c r="I23">
        <v>8</v>
      </c>
      <c r="J23">
        <v>23</v>
      </c>
      <c r="K23" t="inlineStr">
        <is>
          <t>Low</t>
        </is>
      </c>
      <c r="L23">
        <v>31</v>
      </c>
      <c r="M23">
        <f>ROUND(Inputs!$B$10+J23*Inputs!$B$11+G23*Inputs!$B$12+E23*Inputs!$B$13+Inputs!$B$14,0)</f>
      </c>
      <c r="N23">
        <f>MAX(6,ROUND(Inputs!$B$16+H23*Inputs!$B$17+E23*Inputs!$B$18,0))</f>
      </c>
      <c r="O23">
        <f>MAX(1,ROUND(Inputs!$B$23+(H23*Inputs!$B$20+J23*Inputs!$B$21+E23*Inputs!$B$22)*Inputs!$B$24,0))</f>
      </c>
    </row>
    <row r="24">
      <c r="A24" t="inlineStr">
        <is>
          <t>Rare Water Runner</t>
        </is>
      </c>
      <c r="B24" t="inlineStr">
        <is>
          <t>water</t>
        </is>
      </c>
      <c r="C24" t="inlineStr">
        <is>
          <t>Runner</t>
        </is>
      </c>
      <c r="D24" t="inlineStr">
        <is>
          <t>Rare</t>
        </is>
      </c>
      <c r="E24">
        <v>2</v>
      </c>
      <c r="F24">
        <v>1150</v>
      </c>
      <c r="G24">
        <v>2</v>
      </c>
      <c r="H24">
        <v>48</v>
      </c>
      <c r="I24">
        <v>11</v>
      </c>
      <c r="J24">
        <v>20</v>
      </c>
      <c r="K24" t="inlineStr">
        <is>
          <t>Low</t>
        </is>
      </c>
      <c r="L24">
        <v>36</v>
      </c>
      <c r="M24">
        <f>ROUND(Inputs!$B$10+J24*Inputs!$B$11+G24*Inputs!$B$12+E24*Inputs!$B$13+Inputs!$B$14,0)</f>
      </c>
      <c r="N24">
        <f>MAX(6,ROUND(Inputs!$B$16+H24*Inputs!$B$17+E24*Inputs!$B$18,0))</f>
      </c>
      <c r="O24">
        <f>MAX(1,ROUND(Inputs!$B$23+(H24*Inputs!$B$20+J24*Inputs!$B$21+E24*Inputs!$B$22)*Inputs!$B$24,0))</f>
      </c>
    </row>
    <row r="25">
      <c r="A25" t="inlineStr">
        <is>
          <t>Epic Water Runner</t>
        </is>
      </c>
      <c r="B25" t="inlineStr">
        <is>
          <t>water</t>
        </is>
      </c>
      <c r="C25" t="inlineStr">
        <is>
          <t>Runner</t>
        </is>
      </c>
      <c r="D25" t="inlineStr">
        <is>
          <t>Epic</t>
        </is>
      </c>
      <c r="E25">
        <v>3</v>
      </c>
      <c r="F25">
        <v>3400</v>
      </c>
      <c r="G25">
        <v>2</v>
      </c>
      <c r="H25">
        <v>60</v>
      </c>
      <c r="I25">
        <v>17</v>
      </c>
      <c r="J25">
        <v>17</v>
      </c>
      <c r="K25" t="inlineStr">
        <is>
          <t>Low</t>
        </is>
      </c>
      <c r="L25">
        <v>41</v>
      </c>
      <c r="M25">
        <f>ROUND(Inputs!$B$10+J25*Inputs!$B$11+G25*Inputs!$B$12+E25*Inputs!$B$13+Inputs!$B$14,0)</f>
      </c>
      <c r="N25">
        <f>MAX(6,ROUND(Inputs!$B$16+H25*Inputs!$B$17+E25*Inputs!$B$18,0))</f>
      </c>
      <c r="O25">
        <f>MAX(1,ROUND(Inputs!$B$23+(H25*Inputs!$B$20+J25*Inputs!$B$21+E25*Inputs!$B$22)*Inputs!$B$24,0))</f>
      </c>
    </row>
    <row r="26">
      <c r="A26" t="inlineStr">
        <is>
          <t>Legendary Water Runner</t>
        </is>
      </c>
      <c r="B26" t="inlineStr">
        <is>
          <t>water</t>
        </is>
      </c>
      <c r="C26" t="inlineStr">
        <is>
          <t>Runner</t>
        </is>
      </c>
      <c r="D26" t="inlineStr">
        <is>
          <t>Legendary</t>
        </is>
      </c>
      <c r="E26">
        <v>4</v>
      </c>
      <c r="F26">
        <v>9600</v>
      </c>
      <c r="G26">
        <v>3</v>
      </c>
      <c r="H26">
        <v>76</v>
      </c>
      <c r="I26">
        <v>25</v>
      </c>
      <c r="J26">
        <v>14</v>
      </c>
      <c r="K26" t="inlineStr">
        <is>
          <t>Low</t>
        </is>
      </c>
      <c r="L26">
        <v>46</v>
      </c>
      <c r="M26">
        <f>ROUND(Inputs!$B$10+J26*Inputs!$B$11+G26*Inputs!$B$12+E26*Inputs!$B$13+Inputs!$B$14,0)</f>
      </c>
      <c r="N26">
        <f>MAX(6,ROUND(Inputs!$B$16+H26*Inputs!$B$17+E26*Inputs!$B$18,0))</f>
      </c>
      <c r="O26">
        <f>MAX(1,ROUND(Inputs!$B$23+(H26*Inputs!$B$20+J26*Inputs!$B$21+E26*Inputs!$B$22)*Inputs!$B$24,0))</f>
      </c>
    </row>
    <row r="27">
      <c r="A27" t="inlineStr">
        <is>
          <t>Common Water Freighter</t>
        </is>
      </c>
      <c r="B27" t="inlineStr">
        <is>
          <t>water</t>
        </is>
      </c>
      <c r="C27" t="inlineStr">
        <is>
          <t>Freighter</t>
        </is>
      </c>
      <c r="D27" t="inlineStr">
        <is>
          <t>Common</t>
        </is>
      </c>
      <c r="E27">
        <v>0</v>
      </c>
      <c r="F27">
        <v>130</v>
      </c>
      <c r="G27">
        <v>2</v>
      </c>
      <c r="H27">
        <v>20</v>
      </c>
      <c r="I27">
        <v>7</v>
      </c>
      <c r="J27">
        <v>62</v>
      </c>
      <c r="K27" t="inlineStr">
        <is>
          <t>High</t>
        </is>
      </c>
      <c r="L27">
        <v>16</v>
      </c>
      <c r="M27">
        <f>ROUND(Inputs!$B$10+J27*Inputs!$B$11+G27*Inputs!$B$12+E27*Inputs!$B$13+Inputs!$B$14,0)</f>
      </c>
      <c r="N27">
        <f>MAX(6,ROUND(Inputs!$B$16+H27*Inputs!$B$17+E27*Inputs!$B$18,0))</f>
      </c>
      <c r="O27">
        <f>MAX(1,ROUND(Inputs!$B$23+(H27*Inputs!$B$20+J27*Inputs!$B$21+E27*Inputs!$B$22)*Inputs!$B$24,0))</f>
      </c>
    </row>
    <row r="28">
      <c r="A28" t="inlineStr">
        <is>
          <t>Uncommon Water Freighter</t>
        </is>
      </c>
      <c r="B28" t="inlineStr">
        <is>
          <t>water</t>
        </is>
      </c>
      <c r="C28" t="inlineStr">
        <is>
          <t>Freighter</t>
        </is>
      </c>
      <c r="D28" t="inlineStr">
        <is>
          <t>Uncommon</t>
        </is>
      </c>
      <c r="E28">
        <v>1</v>
      </c>
      <c r="F28">
        <v>390</v>
      </c>
      <c r="G28">
        <v>2</v>
      </c>
      <c r="H28">
        <v>30</v>
      </c>
      <c r="I28">
        <v>10</v>
      </c>
      <c r="J28">
        <v>59</v>
      </c>
      <c r="K28" t="inlineStr">
        <is>
          <t>High</t>
        </is>
      </c>
      <c r="L28">
        <v>21</v>
      </c>
      <c r="M28">
        <f>ROUND(Inputs!$B$10+J28*Inputs!$B$11+G28*Inputs!$B$12+E28*Inputs!$B$13+Inputs!$B$14,0)</f>
      </c>
      <c r="N28">
        <f>MAX(6,ROUND(Inputs!$B$16+H28*Inputs!$B$17+E28*Inputs!$B$18,0))</f>
      </c>
      <c r="O28">
        <f>MAX(1,ROUND(Inputs!$B$23+(H28*Inputs!$B$20+J28*Inputs!$B$21+E28*Inputs!$B$22)*Inputs!$B$24,0))</f>
      </c>
    </row>
    <row r="29">
      <c r="A29" t="inlineStr">
        <is>
          <t>Rare Water Freighter</t>
        </is>
      </c>
      <c r="B29" t="inlineStr">
        <is>
          <t>water</t>
        </is>
      </c>
      <c r="C29" t="inlineStr">
        <is>
          <t>Freighter</t>
        </is>
      </c>
      <c r="D29" t="inlineStr">
        <is>
          <t>Rare</t>
        </is>
      </c>
      <c r="E29">
        <v>2</v>
      </c>
      <c r="F29">
        <v>1100</v>
      </c>
      <c r="G29">
        <v>3</v>
      </c>
      <c r="H29">
        <v>42</v>
      </c>
      <c r="I29">
        <v>13</v>
      </c>
      <c r="J29">
        <v>56</v>
      </c>
      <c r="K29" t="inlineStr">
        <is>
          <t>High</t>
        </is>
      </c>
      <c r="L29">
        <v>26</v>
      </c>
      <c r="M29">
        <f>ROUND(Inputs!$B$10+J29*Inputs!$B$11+G29*Inputs!$B$12+E29*Inputs!$B$13+Inputs!$B$14,0)</f>
      </c>
      <c r="N29">
        <f>MAX(6,ROUND(Inputs!$B$16+H29*Inputs!$B$17+E29*Inputs!$B$18,0))</f>
      </c>
      <c r="O29">
        <f>MAX(1,ROUND(Inputs!$B$23+(H29*Inputs!$B$20+J29*Inputs!$B$21+E29*Inputs!$B$22)*Inputs!$B$24,0))</f>
      </c>
    </row>
    <row r="30">
      <c r="A30" t="inlineStr">
        <is>
          <t>Epic Water Freighter</t>
        </is>
      </c>
      <c r="B30" t="inlineStr">
        <is>
          <t>water</t>
        </is>
      </c>
      <c r="C30" t="inlineStr">
        <is>
          <t>Freighter</t>
        </is>
      </c>
      <c r="D30" t="inlineStr">
        <is>
          <t>Epic</t>
        </is>
      </c>
      <c r="E30">
        <v>3</v>
      </c>
      <c r="F30">
        <v>3600</v>
      </c>
      <c r="G30">
        <v>4</v>
      </c>
      <c r="H30">
        <v>50</v>
      </c>
      <c r="I30">
        <v>20</v>
      </c>
      <c r="J30">
        <v>53</v>
      </c>
      <c r="K30" t="inlineStr">
        <is>
          <t>High</t>
        </is>
      </c>
      <c r="L30">
        <v>31</v>
      </c>
      <c r="M30">
        <f>ROUND(Inputs!$B$10+J30*Inputs!$B$11+G30*Inputs!$B$12+E30*Inputs!$B$13+Inputs!$B$14,0)</f>
      </c>
      <c r="N30">
        <f>MAX(6,ROUND(Inputs!$B$16+H30*Inputs!$B$17+E30*Inputs!$B$18,0))</f>
      </c>
      <c r="O30">
        <f>MAX(1,ROUND(Inputs!$B$23+(H30*Inputs!$B$20+J30*Inputs!$B$21+E30*Inputs!$B$22)*Inputs!$B$24,0))</f>
      </c>
    </row>
    <row r="31">
      <c r="A31" t="inlineStr">
        <is>
          <t>Legendary Water Freighter</t>
        </is>
      </c>
      <c r="B31" t="inlineStr">
        <is>
          <t>water</t>
        </is>
      </c>
      <c r="C31" t="inlineStr">
        <is>
          <t>Freighter</t>
        </is>
      </c>
      <c r="D31" t="inlineStr">
        <is>
          <t>Legendary</t>
        </is>
      </c>
      <c r="E31">
        <v>4</v>
      </c>
      <c r="F31">
        <v>10400</v>
      </c>
      <c r="G31">
        <v>5</v>
      </c>
      <c r="H31">
        <v>62</v>
      </c>
      <c r="I31">
        <v>30</v>
      </c>
      <c r="J31">
        <v>50</v>
      </c>
      <c r="K31" t="inlineStr">
        <is>
          <t>High</t>
        </is>
      </c>
      <c r="L31">
        <v>36</v>
      </c>
      <c r="M31">
        <f>ROUND(Inputs!$B$10+J31*Inputs!$B$11+G31*Inputs!$B$12+E31*Inputs!$B$13+Inputs!$B$14,0)</f>
      </c>
      <c r="N31">
        <f>MAX(6,ROUND(Inputs!$B$16+H31*Inputs!$B$17+E31*Inputs!$B$18,0))</f>
      </c>
      <c r="O31">
        <f>MAX(1,ROUND(Inputs!$B$23+(H31*Inputs!$B$20+J31*Inputs!$B$21+E31*Inputs!$B$22)*Inputs!$B$24,0))</f>
      </c>
    </row>
    <row r="32">
      <c r="A32" t="inlineStr">
        <is>
          <t>Common Water Interceptor</t>
        </is>
      </c>
      <c r="B32" t="inlineStr">
        <is>
          <t>water</t>
        </is>
      </c>
      <c r="C32" t="inlineStr">
        <is>
          <t>Interceptor</t>
        </is>
      </c>
      <c r="D32" t="inlineStr">
        <is>
          <t>Common</t>
        </is>
      </c>
      <c r="E32">
        <v>0</v>
      </c>
      <c r="F32">
        <v>125</v>
      </c>
      <c r="G32">
        <v>1</v>
      </c>
      <c r="H32">
        <v>34</v>
      </c>
      <c r="I32">
        <v>4</v>
      </c>
      <c r="J32">
        <v>40</v>
      </c>
      <c r="K32" t="inlineStr">
        <is>
          <t>Medium</t>
        </is>
      </c>
      <c r="L32">
        <v>50</v>
      </c>
      <c r="M32">
        <f>ROUND(Inputs!$B$10+J32*Inputs!$B$11+G32*Inputs!$B$12+E32*Inputs!$B$13+Inputs!$B$14,0)</f>
      </c>
      <c r="N32">
        <f>MAX(6,ROUND(Inputs!$B$16+H32*Inputs!$B$17+E32*Inputs!$B$18,0))</f>
      </c>
      <c r="O32">
        <f>MAX(1,ROUND(Inputs!$B$23+(H32*Inputs!$B$20+J32*Inputs!$B$21+E32*Inputs!$B$22)*Inputs!$B$24,0))</f>
      </c>
    </row>
    <row r="33">
      <c r="A33" t="inlineStr">
        <is>
          <t>Uncommon Water Interceptor</t>
        </is>
      </c>
      <c r="B33" t="inlineStr">
        <is>
          <t>water</t>
        </is>
      </c>
      <c r="C33" t="inlineStr">
        <is>
          <t>Interceptor</t>
        </is>
      </c>
      <c r="D33" t="inlineStr">
        <is>
          <t>Uncommon</t>
        </is>
      </c>
      <c r="E33">
        <v>1</v>
      </c>
      <c r="F33">
        <v>420</v>
      </c>
      <c r="G33">
        <v>1</v>
      </c>
      <c r="H33">
        <v>44</v>
      </c>
      <c r="I33">
        <v>7</v>
      </c>
      <c r="J33">
        <v>37</v>
      </c>
      <c r="K33" t="inlineStr">
        <is>
          <t>Medium</t>
        </is>
      </c>
      <c r="L33">
        <v>55</v>
      </c>
      <c r="M33">
        <f>ROUND(Inputs!$B$10+J33*Inputs!$B$11+G33*Inputs!$B$12+E33*Inputs!$B$13+Inputs!$B$14,0)</f>
      </c>
      <c r="N33">
        <f>MAX(6,ROUND(Inputs!$B$16+H33*Inputs!$B$17+E33*Inputs!$B$18,0))</f>
      </c>
      <c r="O33">
        <f>MAX(1,ROUND(Inputs!$B$23+(H33*Inputs!$B$20+J33*Inputs!$B$21+E33*Inputs!$B$22)*Inputs!$B$24,0))</f>
      </c>
    </row>
    <row r="34">
      <c r="A34" t="inlineStr">
        <is>
          <t>Rare Water Interceptor</t>
        </is>
      </c>
      <c r="B34" t="inlineStr">
        <is>
          <t>water</t>
        </is>
      </c>
      <c r="C34" t="inlineStr">
        <is>
          <t>Interceptor</t>
        </is>
      </c>
      <c r="D34" t="inlineStr">
        <is>
          <t>Rare</t>
        </is>
      </c>
      <c r="E34">
        <v>2</v>
      </c>
      <c r="F34">
        <v>1300</v>
      </c>
      <c r="G34">
        <v>1</v>
      </c>
      <c r="H34">
        <v>56</v>
      </c>
      <c r="I34">
        <v>11</v>
      </c>
      <c r="J34">
        <v>34</v>
      </c>
      <c r="K34" t="inlineStr">
        <is>
          <t>Medium</t>
        </is>
      </c>
      <c r="L34">
        <v>60</v>
      </c>
      <c r="M34">
        <f>ROUND(Inputs!$B$10+J34*Inputs!$B$11+G34*Inputs!$B$12+E34*Inputs!$B$13+Inputs!$B$14,0)</f>
      </c>
      <c r="N34">
        <f>MAX(6,ROUND(Inputs!$B$16+H34*Inputs!$B$17+E34*Inputs!$B$18,0))</f>
      </c>
      <c r="O34">
        <f>MAX(1,ROUND(Inputs!$B$23+(H34*Inputs!$B$20+J34*Inputs!$B$21+E34*Inputs!$B$22)*Inputs!$B$24,0))</f>
      </c>
    </row>
    <row r="35">
      <c r="A35" t="inlineStr">
        <is>
          <t>Epic Water Interceptor</t>
        </is>
      </c>
      <c r="B35" t="inlineStr">
        <is>
          <t>water</t>
        </is>
      </c>
      <c r="C35" t="inlineStr">
        <is>
          <t>Interceptor</t>
        </is>
      </c>
      <c r="D35" t="inlineStr">
        <is>
          <t>Epic</t>
        </is>
      </c>
      <c r="E35">
        <v>3</v>
      </c>
      <c r="F35">
        <v>3900</v>
      </c>
      <c r="G35">
        <v>2</v>
      </c>
      <c r="H35">
        <v>68</v>
      </c>
      <c r="I35">
        <v>15</v>
      </c>
      <c r="J35">
        <v>31</v>
      </c>
      <c r="K35" t="inlineStr">
        <is>
          <t>Medium</t>
        </is>
      </c>
      <c r="L35">
        <v>65</v>
      </c>
      <c r="M35">
        <f>ROUND(Inputs!$B$10+J35*Inputs!$B$11+G35*Inputs!$B$12+E35*Inputs!$B$13+Inputs!$B$14,0)</f>
      </c>
      <c r="N35">
        <f>MAX(6,ROUND(Inputs!$B$16+H35*Inputs!$B$17+E35*Inputs!$B$18,0))</f>
      </c>
      <c r="O35">
        <f>MAX(1,ROUND(Inputs!$B$23+(H35*Inputs!$B$20+J35*Inputs!$B$21+E35*Inputs!$B$22)*Inputs!$B$24,0))</f>
      </c>
    </row>
    <row r="36">
      <c r="A36" t="inlineStr">
        <is>
          <t>Legendary Water Interceptor</t>
        </is>
      </c>
      <c r="B36" t="inlineStr">
        <is>
          <t>water</t>
        </is>
      </c>
      <c r="C36" t="inlineStr">
        <is>
          <t>Interceptor</t>
        </is>
      </c>
      <c r="D36" t="inlineStr">
        <is>
          <t>Legendary</t>
        </is>
      </c>
      <c r="E36">
        <v>4</v>
      </c>
      <c r="F36">
        <v>11200</v>
      </c>
      <c r="G36">
        <v>2</v>
      </c>
      <c r="H36">
        <v>84</v>
      </c>
      <c r="I36">
        <v>24</v>
      </c>
      <c r="J36">
        <v>28</v>
      </c>
      <c r="K36" t="inlineStr">
        <is>
          <t>Low</t>
        </is>
      </c>
      <c r="L36">
        <v>70</v>
      </c>
      <c r="M36">
        <f>ROUND(Inputs!$B$10+J36*Inputs!$B$11+G36*Inputs!$B$12+E36*Inputs!$B$13+Inputs!$B$14,0)</f>
      </c>
      <c r="N36">
        <f>MAX(6,ROUND(Inputs!$B$16+H36*Inputs!$B$17+E36*Inputs!$B$18,0))</f>
      </c>
      <c r="O36">
        <f>MAX(1,ROUND(Inputs!$B$23+(H36*Inputs!$B$20+J36*Inputs!$B$21+E36*Inputs!$B$22)*Inputs!$B$24,0))</f>
      </c>
    </row>
    <row r="37">
      <c r="A37" t="inlineStr">
        <is>
          <t>Common Water Guardian</t>
        </is>
      </c>
      <c r="B37" t="inlineStr">
        <is>
          <t>water</t>
        </is>
      </c>
      <c r="C37" t="inlineStr">
        <is>
          <t>Guardian</t>
        </is>
      </c>
      <c r="D37" t="inlineStr">
        <is>
          <t>Common</t>
        </is>
      </c>
      <c r="E37">
        <v>0</v>
      </c>
      <c r="F37">
        <v>115</v>
      </c>
      <c r="G37">
        <v>1</v>
      </c>
      <c r="H37">
        <v>24</v>
      </c>
      <c r="I37">
        <v>8</v>
      </c>
      <c r="J37">
        <v>50</v>
      </c>
      <c r="K37" t="inlineStr">
        <is>
          <t>High</t>
        </is>
      </c>
      <c r="L37">
        <v>32</v>
      </c>
      <c r="M37">
        <f>ROUND(Inputs!$B$10+J37*Inputs!$B$11+G37*Inputs!$B$12+E37*Inputs!$B$13+Inputs!$B$14,0)</f>
      </c>
      <c r="N37">
        <f>MAX(6,ROUND(Inputs!$B$16+H37*Inputs!$B$17+E37*Inputs!$B$18,0))</f>
      </c>
      <c r="O37">
        <f>MAX(1,ROUND(Inputs!$B$23+(H37*Inputs!$B$20+J37*Inputs!$B$21+E37*Inputs!$B$22)*Inputs!$B$24,0))</f>
      </c>
    </row>
    <row r="38">
      <c r="A38" t="inlineStr">
        <is>
          <t>Uncommon Water Guardian</t>
        </is>
      </c>
      <c r="B38" t="inlineStr">
        <is>
          <t>water</t>
        </is>
      </c>
      <c r="C38" t="inlineStr">
        <is>
          <t>Guardian</t>
        </is>
      </c>
      <c r="D38" t="inlineStr">
        <is>
          <t>Uncommon</t>
        </is>
      </c>
      <c r="E38">
        <v>1</v>
      </c>
      <c r="F38">
        <v>380</v>
      </c>
      <c r="G38">
        <v>1</v>
      </c>
      <c r="H38">
        <v>34</v>
      </c>
      <c r="I38">
        <v>12</v>
      </c>
      <c r="J38">
        <v>47</v>
      </c>
      <c r="K38" t="inlineStr">
        <is>
          <t>Medium</t>
        </is>
      </c>
      <c r="L38">
        <v>37</v>
      </c>
      <c r="M38">
        <f>ROUND(Inputs!$B$10+J38*Inputs!$B$11+G38*Inputs!$B$12+E38*Inputs!$B$13+Inputs!$B$14,0)</f>
      </c>
      <c r="N38">
        <f>MAX(6,ROUND(Inputs!$B$16+H38*Inputs!$B$17+E38*Inputs!$B$18,0))</f>
      </c>
      <c r="O38">
        <f>MAX(1,ROUND(Inputs!$B$23+(H38*Inputs!$B$20+J38*Inputs!$B$21+E38*Inputs!$B$22)*Inputs!$B$24,0))</f>
      </c>
    </row>
    <row r="39">
      <c r="A39" t="inlineStr">
        <is>
          <t>Rare Water Guardian</t>
        </is>
      </c>
      <c r="B39" t="inlineStr">
        <is>
          <t>water</t>
        </is>
      </c>
      <c r="C39" t="inlineStr">
        <is>
          <t>Guardian</t>
        </is>
      </c>
      <c r="D39" t="inlineStr">
        <is>
          <t>Rare</t>
        </is>
      </c>
      <c r="E39">
        <v>2</v>
      </c>
      <c r="F39">
        <v>1180</v>
      </c>
      <c r="G39">
        <v>2</v>
      </c>
      <c r="H39">
        <v>42</v>
      </c>
      <c r="I39">
        <v>17</v>
      </c>
      <c r="J39">
        <v>44</v>
      </c>
      <c r="K39" t="inlineStr">
        <is>
          <t>Medium</t>
        </is>
      </c>
      <c r="L39">
        <v>42</v>
      </c>
      <c r="M39">
        <f>ROUND(Inputs!$B$10+J39*Inputs!$B$11+G39*Inputs!$B$12+E39*Inputs!$B$13+Inputs!$B$14,0)</f>
      </c>
      <c r="N39">
        <f>MAX(6,ROUND(Inputs!$B$16+H39*Inputs!$B$17+E39*Inputs!$B$18,0))</f>
      </c>
      <c r="O39">
        <f>MAX(1,ROUND(Inputs!$B$23+(H39*Inputs!$B$20+J39*Inputs!$B$21+E39*Inputs!$B$22)*Inputs!$B$24,0))</f>
      </c>
    </row>
    <row r="40">
      <c r="A40" t="inlineStr">
        <is>
          <t>Epic Water Guardian</t>
        </is>
      </c>
      <c r="B40" t="inlineStr">
        <is>
          <t>water</t>
        </is>
      </c>
      <c r="C40" t="inlineStr">
        <is>
          <t>Guardian</t>
        </is>
      </c>
      <c r="D40" t="inlineStr">
        <is>
          <t>Epic</t>
        </is>
      </c>
      <c r="E40">
        <v>3</v>
      </c>
      <c r="F40">
        <v>3700</v>
      </c>
      <c r="G40">
        <v>2</v>
      </c>
      <c r="H40">
        <v>52</v>
      </c>
      <c r="I40">
        <v>22</v>
      </c>
      <c r="J40">
        <v>41</v>
      </c>
      <c r="K40" t="inlineStr">
        <is>
          <t>Medium</t>
        </is>
      </c>
      <c r="L40">
        <v>47</v>
      </c>
      <c r="M40">
        <f>ROUND(Inputs!$B$10+J40*Inputs!$B$11+G40*Inputs!$B$12+E40*Inputs!$B$13+Inputs!$B$14,0)</f>
      </c>
      <c r="N40">
        <f>MAX(6,ROUND(Inputs!$B$16+H40*Inputs!$B$17+E40*Inputs!$B$18,0))</f>
      </c>
      <c r="O40">
        <f>MAX(1,ROUND(Inputs!$B$23+(H40*Inputs!$B$20+J40*Inputs!$B$21+E40*Inputs!$B$22)*Inputs!$B$24,0))</f>
      </c>
    </row>
    <row r="41">
      <c r="A41" t="inlineStr">
        <is>
          <t>Legendary Water Guardian</t>
        </is>
      </c>
      <c r="B41" t="inlineStr">
        <is>
          <t>water</t>
        </is>
      </c>
      <c r="C41" t="inlineStr">
        <is>
          <t>Guardian</t>
        </is>
      </c>
      <c r="D41" t="inlineStr">
        <is>
          <t>Legendary</t>
        </is>
      </c>
      <c r="E41">
        <v>4</v>
      </c>
      <c r="F41">
        <v>10800</v>
      </c>
      <c r="G41">
        <v>3</v>
      </c>
      <c r="H41">
        <v>66</v>
      </c>
      <c r="I41">
        <v>32</v>
      </c>
      <c r="J41">
        <v>38</v>
      </c>
      <c r="K41" t="inlineStr">
        <is>
          <t>Medium</t>
        </is>
      </c>
      <c r="L41">
        <v>52</v>
      </c>
      <c r="M41">
        <f>ROUND(Inputs!$B$10+J41*Inputs!$B$11+G41*Inputs!$B$12+E41*Inputs!$B$13+Inputs!$B$14,0)</f>
      </c>
      <c r="N41">
        <f>MAX(6,ROUND(Inputs!$B$16+H41*Inputs!$B$17+E41*Inputs!$B$18,0))</f>
      </c>
      <c r="O41">
        <f>MAX(1,ROUND(Inputs!$B$23+(H41*Inputs!$B$20+J41*Inputs!$B$21+E41*Inputs!$B$22)*Inputs!$B$24,0))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Miles</t>
        </is>
      </c>
      <c r="D1" t="inlineStr">
        <is>
          <t>Type</t>
        </is>
      </c>
    </row>
    <row r="2">
      <c r="A2" t="inlineStr">
        <is>
          <t>Lowline</t>
        </is>
      </c>
      <c r="B2" t="inlineStr">
        <is>
          <t>Chrome Pier</t>
        </is>
      </c>
      <c r="C2">
        <v>72</v>
      </c>
      <c r="D2" t="inlineStr">
        <is>
          <t>land</t>
        </is>
      </c>
    </row>
    <row r="3">
      <c r="A3" t="inlineStr">
        <is>
          <t>Lowline</t>
        </is>
      </c>
      <c r="B3" t="inlineStr">
        <is>
          <t>Orchid Sprawl</t>
        </is>
      </c>
      <c r="C3">
        <v>105</v>
      </c>
      <c r="D3" t="inlineStr">
        <is>
          <t>land</t>
        </is>
      </c>
    </row>
    <row r="4">
      <c r="A4" t="inlineStr">
        <is>
          <t>Chrome Pier</t>
        </is>
      </c>
      <c r="B4" t="inlineStr">
        <is>
          <t>Lowline</t>
        </is>
      </c>
      <c r="C4">
        <v>72</v>
      </c>
      <c r="D4" t="inlineStr">
        <is>
          <t>land</t>
        </is>
      </c>
    </row>
    <row r="5">
      <c r="A5" t="inlineStr">
        <is>
          <t>Chrome Pier</t>
        </is>
      </c>
      <c r="B5" t="inlineStr">
        <is>
          <t>Vanta Arcology</t>
        </is>
      </c>
      <c r="C5">
        <v>156</v>
      </c>
      <c r="D5" t="inlineStr">
        <is>
          <t>land</t>
        </is>
      </c>
    </row>
    <row r="6">
      <c r="A6" t="inlineStr">
        <is>
          <t>Chrome Pier</t>
        </is>
      </c>
      <c r="B6" t="inlineStr">
        <is>
          <t>Helix Quay</t>
        </is>
      </c>
      <c r="C6">
        <v>190</v>
      </c>
      <c r="D6" t="inlineStr">
        <is>
          <t>land</t>
        </is>
      </c>
    </row>
    <row r="7">
      <c r="A7" t="inlineStr">
        <is>
          <t>Vanta Arcology</t>
        </is>
      </c>
      <c r="B7" t="inlineStr">
        <is>
          <t>Chrome Pier</t>
        </is>
      </c>
      <c r="C7">
        <v>156</v>
      </c>
      <c r="D7" t="inlineStr">
        <is>
          <t>land</t>
        </is>
      </c>
    </row>
    <row r="8">
      <c r="A8" t="inlineStr">
        <is>
          <t>Vanta Arcology</t>
        </is>
      </c>
      <c r="B8" t="inlineStr">
        <is>
          <t>Orchid Sprawl</t>
        </is>
      </c>
      <c r="C8">
        <v>220</v>
      </c>
      <c r="D8" t="inlineStr">
        <is>
          <t>water</t>
        </is>
      </c>
    </row>
    <row r="9">
      <c r="A9" t="inlineStr">
        <is>
          <t>Orchid Sprawl</t>
        </is>
      </c>
      <c r="B9" t="inlineStr">
        <is>
          <t>Lowline</t>
        </is>
      </c>
      <c r="C9">
        <v>105</v>
      </c>
      <c r="D9" t="inlineStr">
        <is>
          <t>land</t>
        </is>
      </c>
    </row>
    <row r="10">
      <c r="A10" t="inlineStr">
        <is>
          <t>Orchid Sprawl</t>
        </is>
      </c>
      <c r="B10" t="inlineStr">
        <is>
          <t>Vanta Arcology</t>
        </is>
      </c>
      <c r="C10">
        <v>220</v>
      </c>
      <c r="D10" t="inlineStr">
        <is>
          <t>water</t>
        </is>
      </c>
    </row>
    <row r="11">
      <c r="A11" t="inlineStr">
        <is>
          <t>Helix Quay</t>
        </is>
      </c>
      <c r="B11" t="inlineStr">
        <is>
          <t>Chrome Pier</t>
        </is>
      </c>
      <c r="C11">
        <v>190</v>
      </c>
      <c r="D11" t="inlineStr">
        <is>
          <t>land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Merchant Vehicle</t>
        </is>
      </c>
      <c r="B1" t="inlineStr">
        <is>
          <t>Cargo Units</t>
        </is>
      </c>
      <c r="C1" t="inlineStr">
        <is>
          <t>Routejack Vehicle</t>
        </is>
      </c>
      <c r="D1" t="inlineStr">
        <is>
          <t>Detection Chance</t>
        </is>
      </c>
      <c r="E1" t="inlineStr">
        <is>
          <t>Read</t>
        </is>
      </c>
    </row>
    <row r="2">
      <c r="A2" t="inlineStr">
        <is>
          <t>Common Runner</t>
        </is>
      </c>
      <c r="B2">
        <v>1</v>
      </c>
      <c r="C2" t="inlineStr">
        <is>
          <t>Common Interceptor</t>
        </is>
      </c>
      <c r="D2">
        <f>MAX(Inputs!$B$8,MIN(Inputs!$B$9,ROUND(Inputs!$B$2+VLOOKUP(C2,Vehicles!$A:$O,12,FALSE)*Inputs!$B$3+VLOOKUP(A2,Vehicles!$A:$O,10,FALSE)*Inputs!$B$4+(B2-1)*Inputs!$B$5+(VLOOKUP(C2,Vehicles!$A:$O,8,FALSE)-VLOOKUP(A2,Vehicles!$A:$O,8,FALSE))*Inputs!$B$6-VLOOKUP(A2,Vehicles!$A:$O,5,FALSE)*Inputs!$B$7,0)))</f>
      </c>
      <c r="E2">
        <f>IF(D2&lt;25,"Low",IF(D2&lt;55,"Medium","High"))</f>
      </c>
    </row>
    <row r="3">
      <c r="A3" t="inlineStr">
        <is>
          <t>Common Freighter</t>
        </is>
      </c>
      <c r="B3">
        <v>2</v>
      </c>
      <c r="C3" t="inlineStr">
        <is>
          <t>Common Interceptor</t>
        </is>
      </c>
      <c r="D3">
        <f>MAX(Inputs!$B$8,MIN(Inputs!$B$9,ROUND(Inputs!$B$2+VLOOKUP(C3,Vehicles!$A:$O,12,FALSE)*Inputs!$B$3+VLOOKUP(A3,Vehicles!$A:$O,10,FALSE)*Inputs!$B$4+(B3-1)*Inputs!$B$5+(VLOOKUP(C3,Vehicles!$A:$O,8,FALSE)-VLOOKUP(A3,Vehicles!$A:$O,8,FALSE))*Inputs!$B$6-VLOOKUP(A3,Vehicles!$A:$O,5,FALSE)*Inputs!$B$7,0)))</f>
      </c>
      <c r="E3">
        <f>IF(D3&lt;25,"Low",IF(D3&lt;55,"Medium","High"))</f>
      </c>
    </row>
    <row r="4">
      <c r="A4" t="inlineStr">
        <is>
          <t>Rare Runner</t>
        </is>
      </c>
      <c r="B4">
        <v>2</v>
      </c>
      <c r="C4" t="inlineStr">
        <is>
          <t>Uncommon Interceptor</t>
        </is>
      </c>
      <c r="D4">
        <f>MAX(Inputs!$B$8,MIN(Inputs!$B$9,ROUND(Inputs!$B$2+VLOOKUP(C4,Vehicles!$A:$O,12,FALSE)*Inputs!$B$3+VLOOKUP(A4,Vehicles!$A:$O,10,FALSE)*Inputs!$B$4+(B4-1)*Inputs!$B$5+(VLOOKUP(C4,Vehicles!$A:$O,8,FALSE)-VLOOKUP(A4,Vehicles!$A:$O,8,FALSE))*Inputs!$B$6-VLOOKUP(A4,Vehicles!$A:$O,5,FALSE)*Inputs!$B$7,0)))</f>
      </c>
      <c r="E4">
        <f>IF(D4&lt;25,"Low",IF(D4&lt;55,"Medium","High"))</f>
      </c>
    </row>
    <row r="5">
      <c r="A5" t="inlineStr">
        <is>
          <t>Epic Freighter</t>
        </is>
      </c>
      <c r="B5">
        <v>4</v>
      </c>
      <c r="C5" t="inlineStr">
        <is>
          <t>Rare Interceptor</t>
        </is>
      </c>
      <c r="D5">
        <f>MAX(Inputs!$B$8,MIN(Inputs!$B$9,ROUND(Inputs!$B$2+VLOOKUP(C5,Vehicles!$A:$O,12,FALSE)*Inputs!$B$3+VLOOKUP(A5,Vehicles!$A:$O,10,FALSE)*Inputs!$B$4+(B5-1)*Inputs!$B$5+(VLOOKUP(C5,Vehicles!$A:$O,8,FALSE)-VLOOKUP(A5,Vehicles!$A:$O,8,FALSE))*Inputs!$B$6-VLOOKUP(A5,Vehicles!$A:$O,5,FALSE)*Inputs!$B$7,0)))</f>
      </c>
      <c r="E5">
        <f>IF(D5&lt;25,"Low",IF(D5&lt;55,"Medium","High"))</f>
      </c>
    </row>
    <row r="6">
      <c r="A6" t="inlineStr">
        <is>
          <t>Common Water Runner</t>
        </is>
      </c>
      <c r="B6">
        <v>1</v>
      </c>
      <c r="C6" t="inlineStr">
        <is>
          <t>Common Water Interceptor</t>
        </is>
      </c>
      <c r="D6">
        <f>MAX(Inputs!$B$8,MIN(Inputs!$B$9,ROUND(Inputs!$B$2+VLOOKUP(C6,Vehicles!$A:$O,12,FALSE)*Inputs!$B$3+VLOOKUP(A6,Vehicles!$A:$O,10,FALSE)*Inputs!$B$4+(B6-1)*Inputs!$B$5+(VLOOKUP(C6,Vehicles!$A:$O,8,FALSE)-VLOOKUP(A6,Vehicles!$A:$O,8,FALSE))*Inputs!$B$6-VLOOKUP(A6,Vehicles!$A:$O,5,FALSE)*Inputs!$B$7,0)))</f>
      </c>
      <c r="E6">
        <f>IF(D6&lt;25,"Low",IF(D6&lt;55,"Medium","High"))</f>
      </c>
    </row>
    <row r="7">
      <c r="A7" t="inlineStr">
        <is>
          <t>Common Water Freighter</t>
        </is>
      </c>
      <c r="B7">
        <v>2</v>
      </c>
      <c r="C7" t="inlineStr">
        <is>
          <t>Common Water Interceptor</t>
        </is>
      </c>
      <c r="D7">
        <f>MAX(Inputs!$B$8,MIN(Inputs!$B$9,ROUND(Inputs!$B$2+VLOOKUP(C7,Vehicles!$A:$O,12,FALSE)*Inputs!$B$3+VLOOKUP(A7,Vehicles!$A:$O,10,FALSE)*Inputs!$B$4+(B7-1)*Inputs!$B$5+(VLOOKUP(C7,Vehicles!$A:$O,8,FALSE)-VLOOKUP(A7,Vehicles!$A:$O,8,FALSE))*Inputs!$B$6-VLOOKUP(A7,Vehicles!$A:$O,5,FALSE)*Inputs!$B$7,0)))</f>
      </c>
      <c r="E7">
        <f>IF(D7&lt;25,"Low",IF(D7&lt;55,"Medium","High"))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Attacker Vehicle</t>
        </is>
      </c>
      <c r="B1" t="inlineStr">
        <is>
          <t>Cargo Vehicle</t>
        </is>
      </c>
      <c r="C1" t="inlineStr">
        <is>
          <t>Cargo Units</t>
        </is>
      </c>
      <c r="D1" t="inlineStr">
        <is>
          <t>Detection %</t>
        </is>
      </c>
      <c r="E1" t="inlineStr">
        <is>
          <t>Attacker Impact</t>
        </is>
      </c>
      <c r="F1" t="inlineStr">
        <is>
          <t>Cargo Integrity</t>
        </is>
      </c>
      <c r="G1" t="inlineStr">
        <is>
          <t>Cargo Battle Speed</t>
        </is>
      </c>
      <c r="H1" t="inlineStr">
        <is>
          <t>Escape Gain</t>
        </is>
      </c>
      <c r="I1" t="inlineStr">
        <is>
          <t>Attacks To Disable</t>
        </is>
      </c>
      <c r="J1" t="inlineStr">
        <is>
          <t>Cargo Actions To Escape</t>
        </is>
      </c>
      <c r="K1" t="inlineStr">
        <is>
          <t>Attacker Ticks To Win</t>
        </is>
      </c>
      <c r="L1" t="inlineStr">
        <is>
          <t>Cargo Ticks To Escape</t>
        </is>
      </c>
      <c r="M1" t="inlineStr">
        <is>
          <t>First-Order Favored</t>
        </is>
      </c>
    </row>
    <row r="2">
      <c r="A2" t="inlineStr">
        <is>
          <t>Common Interceptor</t>
        </is>
      </c>
      <c r="B2" t="inlineStr">
        <is>
          <t>Common Runner</t>
        </is>
      </c>
      <c r="C2">
        <v>1</v>
      </c>
      <c r="D2">
        <f>MAX(Inputs!$B$8,MIN(Inputs!$B$9,ROUND(Inputs!$B$2+VLOOKUP(A2,Vehicles!$A:$O,12,FALSE)*Inputs!$B$3+VLOOKUP(B2,Vehicles!$A:$O,10,FALSE)*Inputs!$B$4+(C2-1)*Inputs!$B$5+(VLOOKUP(A2,Vehicles!$A:$O,8,FALSE)-VLOOKUP(B2,Vehicles!$A:$O,8,FALSE))*Inputs!$B$6-VLOOKUP(B2,Vehicles!$A:$O,5,FALSE)*Inputs!$B$7,0)))</f>
      </c>
      <c r="E2">
        <f>VLOOKUP(A2,Vehicles!$A:$O,15,FALSE)</f>
      </c>
      <c r="F2">
        <f>VLOOKUP(B2,Vehicles!$A:$O,13,FALSE)</f>
      </c>
      <c r="G2">
        <f>MAX(6,VLOOKUP(B2,Vehicles!$A:$O,14,FALSE)-(C2-1)*Inputs!$B$19)</f>
      </c>
      <c r="H2">
        <f>MAX(6,ROUND(Inputs!$B$28+G2*Inputs!$B$29-(C2-1)*Inputs!$B$31,0))</f>
      </c>
      <c r="I2">
        <f>CEILING(F2/E2,1)</f>
      </c>
      <c r="J2">
        <f>CEILING(100/H2,1)</f>
      </c>
      <c r="K2">
        <f>I2*100/VLOOKUP(A2,Vehicles!$A:$O,14,FALSE)</f>
      </c>
      <c r="L2">
        <f>J2*100/G2</f>
      </c>
      <c r="M2">
        <f>IF(K2&lt;L2,"Attacker","Cargo")</f>
      </c>
    </row>
    <row r="3">
      <c r="A3" t="inlineStr">
        <is>
          <t>Common Interceptor</t>
        </is>
      </c>
      <c r="B3" t="inlineStr">
        <is>
          <t>Common Freighter</t>
        </is>
      </c>
      <c r="C3">
        <v>2</v>
      </c>
      <c r="D3">
        <f>MAX(Inputs!$B$8,MIN(Inputs!$B$9,ROUND(Inputs!$B$2+VLOOKUP(A3,Vehicles!$A:$O,12,FALSE)*Inputs!$B$3+VLOOKUP(B3,Vehicles!$A:$O,10,FALSE)*Inputs!$B$4+(C3-1)*Inputs!$B$5+(VLOOKUP(A3,Vehicles!$A:$O,8,FALSE)-VLOOKUP(B3,Vehicles!$A:$O,8,FALSE))*Inputs!$B$6-VLOOKUP(B3,Vehicles!$A:$O,5,FALSE)*Inputs!$B$7,0)))</f>
      </c>
      <c r="E3">
        <f>VLOOKUP(A3,Vehicles!$A:$O,15,FALSE)</f>
      </c>
      <c r="F3">
        <f>VLOOKUP(B3,Vehicles!$A:$O,13,FALSE)</f>
      </c>
      <c r="G3">
        <f>MAX(6,VLOOKUP(B3,Vehicles!$A:$O,14,FALSE)-(C3-1)*Inputs!$B$19)</f>
      </c>
      <c r="H3">
        <f>MAX(6,ROUND(Inputs!$B$28+G3*Inputs!$B$29-(C3-1)*Inputs!$B$31,0))</f>
      </c>
      <c r="I3">
        <f>CEILING(F3/E3,1)</f>
      </c>
      <c r="J3">
        <f>CEILING(100/H3,1)</f>
      </c>
      <c r="K3">
        <f>I3*100/VLOOKUP(A3,Vehicles!$A:$O,14,FALSE)</f>
      </c>
      <c r="L3">
        <f>J3*100/G3</f>
      </c>
      <c r="M3">
        <f>IF(K3&lt;L3,"Attacker","Cargo")</f>
      </c>
    </row>
    <row r="4">
      <c r="A4" t="inlineStr">
        <is>
          <t>Uncommon Interceptor</t>
        </is>
      </c>
      <c r="B4" t="inlineStr">
        <is>
          <t>Rare Runner</t>
        </is>
      </c>
      <c r="C4">
        <v>2</v>
      </c>
      <c r="D4">
        <f>MAX(Inputs!$B$8,MIN(Inputs!$B$9,ROUND(Inputs!$B$2+VLOOKUP(A4,Vehicles!$A:$O,12,FALSE)*Inputs!$B$3+VLOOKUP(B4,Vehicles!$A:$O,10,FALSE)*Inputs!$B$4+(C4-1)*Inputs!$B$5+(VLOOKUP(A4,Vehicles!$A:$O,8,FALSE)-VLOOKUP(B4,Vehicles!$A:$O,8,FALSE))*Inputs!$B$6-VLOOKUP(B4,Vehicles!$A:$O,5,FALSE)*Inputs!$B$7,0)))</f>
      </c>
      <c r="E4">
        <f>VLOOKUP(A4,Vehicles!$A:$O,15,FALSE)</f>
      </c>
      <c r="F4">
        <f>VLOOKUP(B4,Vehicles!$A:$O,13,FALSE)</f>
      </c>
      <c r="G4">
        <f>MAX(6,VLOOKUP(B4,Vehicles!$A:$O,14,FALSE)-(C4-1)*Inputs!$B$19)</f>
      </c>
      <c r="H4">
        <f>MAX(6,ROUND(Inputs!$B$28+G4*Inputs!$B$29-(C4-1)*Inputs!$B$31,0))</f>
      </c>
      <c r="I4">
        <f>CEILING(F4/E4,1)</f>
      </c>
      <c r="J4">
        <f>CEILING(100/H4,1)</f>
      </c>
      <c r="K4">
        <f>I4*100/VLOOKUP(A4,Vehicles!$A:$O,14,FALSE)</f>
      </c>
      <c r="L4">
        <f>J4*100/G4</f>
      </c>
      <c r="M4">
        <f>IF(K4&lt;L4,"Attacker","Cargo")</f>
      </c>
    </row>
    <row r="5">
      <c r="A5" t="inlineStr">
        <is>
          <t>Rare Interceptor</t>
        </is>
      </c>
      <c r="B5" t="inlineStr">
        <is>
          <t>Epic Freighter</t>
        </is>
      </c>
      <c r="C5">
        <v>4</v>
      </c>
      <c r="D5">
        <f>MAX(Inputs!$B$8,MIN(Inputs!$B$9,ROUND(Inputs!$B$2+VLOOKUP(A5,Vehicles!$A:$O,12,FALSE)*Inputs!$B$3+VLOOKUP(B5,Vehicles!$A:$O,10,FALSE)*Inputs!$B$4+(C5-1)*Inputs!$B$5+(VLOOKUP(A5,Vehicles!$A:$O,8,FALSE)-VLOOKUP(B5,Vehicles!$A:$O,8,FALSE))*Inputs!$B$6-VLOOKUP(B5,Vehicles!$A:$O,5,FALSE)*Inputs!$B$7,0)))</f>
      </c>
      <c r="E5">
        <f>VLOOKUP(A5,Vehicles!$A:$O,15,FALSE)</f>
      </c>
      <c r="F5">
        <f>VLOOKUP(B5,Vehicles!$A:$O,13,FALSE)</f>
      </c>
      <c r="G5">
        <f>MAX(6,VLOOKUP(B5,Vehicles!$A:$O,14,FALSE)-(C5-1)*Inputs!$B$19)</f>
      </c>
      <c r="H5">
        <f>MAX(6,ROUND(Inputs!$B$28+G5*Inputs!$B$29-(C5-1)*Inputs!$B$31,0))</f>
      </c>
      <c r="I5">
        <f>CEILING(F5/E5,1)</f>
      </c>
      <c r="J5">
        <f>CEILING(100/H5,1)</f>
      </c>
      <c r="K5">
        <f>I5*100/VLOOKUP(A5,Vehicles!$A:$O,14,FALSE)</f>
      </c>
      <c r="L5">
        <f>J5*100/G5</f>
      </c>
      <c r="M5">
        <f>IF(K5&lt;L5,"Attacker","Cargo")</f>
      </c>
    </row>
    <row r="6">
      <c r="A6" t="inlineStr">
        <is>
          <t>Common Water Interceptor</t>
        </is>
      </c>
      <c r="B6" t="inlineStr">
        <is>
          <t>Common Water Runner</t>
        </is>
      </c>
      <c r="C6">
        <v>1</v>
      </c>
      <c r="D6">
        <f>MAX(Inputs!$B$8,MIN(Inputs!$B$9,ROUND(Inputs!$B$2+VLOOKUP(A6,Vehicles!$A:$O,12,FALSE)*Inputs!$B$3+VLOOKUP(B6,Vehicles!$A:$O,10,FALSE)*Inputs!$B$4+(C6-1)*Inputs!$B$5+(VLOOKUP(A6,Vehicles!$A:$O,8,FALSE)-VLOOKUP(B6,Vehicles!$A:$O,8,FALSE))*Inputs!$B$6-VLOOKUP(B6,Vehicles!$A:$O,5,FALSE)*Inputs!$B$7,0)))</f>
      </c>
      <c r="E6">
        <f>VLOOKUP(A6,Vehicles!$A:$O,15,FALSE)</f>
      </c>
      <c r="F6">
        <f>VLOOKUP(B6,Vehicles!$A:$O,13,FALSE)</f>
      </c>
      <c r="G6">
        <f>MAX(6,VLOOKUP(B6,Vehicles!$A:$O,14,FALSE)-(C6-1)*Inputs!$B$19)</f>
      </c>
      <c r="H6">
        <f>MAX(6,ROUND(Inputs!$B$28+G6*Inputs!$B$29-(C6-1)*Inputs!$B$31,0))</f>
      </c>
      <c r="I6">
        <f>CEILING(F6/E6,1)</f>
      </c>
      <c r="J6">
        <f>CEILING(100/H6,1)</f>
      </c>
      <c r="K6">
        <f>I6*100/VLOOKUP(A6,Vehicles!$A:$O,14,FALSE)</f>
      </c>
      <c r="L6">
        <f>J6*100/G6</f>
      </c>
      <c r="M6">
        <f>IF(K6&lt;L6,"Attacker","Cargo")</f>
      </c>
    </row>
    <row r="7">
      <c r="A7" t="inlineStr">
        <is>
          <t>Common Water Interceptor</t>
        </is>
      </c>
      <c r="B7" t="inlineStr">
        <is>
          <t>Common Water Freighter</t>
        </is>
      </c>
      <c r="C7">
        <v>2</v>
      </c>
      <c r="D7">
        <f>MAX(Inputs!$B$8,MIN(Inputs!$B$9,ROUND(Inputs!$B$2+VLOOKUP(A7,Vehicles!$A:$O,12,FALSE)*Inputs!$B$3+VLOOKUP(B7,Vehicles!$A:$O,10,FALSE)*Inputs!$B$4+(C7-1)*Inputs!$B$5+(VLOOKUP(A7,Vehicles!$A:$O,8,FALSE)-VLOOKUP(B7,Vehicles!$A:$O,8,FALSE))*Inputs!$B$6-VLOOKUP(B7,Vehicles!$A:$O,5,FALSE)*Inputs!$B$7,0)))</f>
      </c>
      <c r="E7">
        <f>VLOOKUP(A7,Vehicles!$A:$O,15,FALSE)</f>
      </c>
      <c r="F7">
        <f>VLOOKUP(B7,Vehicles!$A:$O,13,FALSE)</f>
      </c>
      <c r="G7">
        <f>MAX(6,VLOOKUP(B7,Vehicles!$A:$O,14,FALSE)-(C7-1)*Inputs!$B$19)</f>
      </c>
      <c r="H7">
        <f>MAX(6,ROUND(Inputs!$B$28+G7*Inputs!$B$29-(C7-1)*Inputs!$B$31,0))</f>
      </c>
      <c r="I7">
        <f>CEILING(F7/E7,1)</f>
      </c>
      <c r="J7">
        <f>CEILING(100/H7,1)</f>
      </c>
      <c r="K7">
        <f>I7*100/VLOOKUP(A7,Vehicles!$A:$O,14,FALSE)</f>
      </c>
      <c r="L7">
        <f>J7*100/G7</f>
      </c>
      <c r="M7">
        <f>IF(K7&lt;L7,"Attacker","Cargo")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Layer</t>
        </is>
      </c>
      <c r="B1" t="inlineStr">
        <is>
          <t>Mechanic</t>
        </is>
      </c>
      <c r="C1" t="inlineStr">
        <is>
          <t>Purpose</t>
        </is>
      </c>
      <c r="D1" t="inlineStr">
        <is>
          <t>Add When</t>
        </is>
      </c>
    </row>
    <row r="2">
      <c r="A2">
        <v>0</v>
      </c>
      <c r="B2" t="inlineStr">
        <is>
          <t>Core detection + initiative combat</t>
        </is>
      </c>
      <c r="C2" t="inlineStr">
        <is>
          <t>Readable base tradeoffs</t>
        </is>
      </c>
      <c r="D2" t="inlineStr">
        <is>
          <t>Now</t>
        </is>
      </c>
    </row>
    <row r="3">
      <c r="A3">
        <v>1</v>
      </c>
      <c r="B3" t="inlineStr">
        <is>
          <t>Shields</t>
        </is>
      </c>
      <c r="C3" t="inlineStr">
        <is>
          <t>Simple defensive buffer</t>
        </is>
      </c>
      <c r="D3" t="inlineStr">
        <is>
          <t>Core outcomes are stable</t>
        </is>
      </c>
    </row>
    <row r="4">
      <c r="A4">
        <v>2</v>
      </c>
      <c r="B4" t="inlineStr">
        <is>
          <t>Brave</t>
        </is>
      </c>
      <c r="C4" t="inlineStr">
        <is>
          <t>Escort identity</t>
        </is>
      </c>
      <c r="D4" t="inlineStr">
        <is>
          <t>Shields are understandable</t>
        </is>
      </c>
    </row>
    <row r="5">
      <c r="A5">
        <v>3</v>
      </c>
      <c r="B5" t="inlineStr">
        <is>
          <t>Passive route modules</t>
        </is>
      </c>
      <c r="C5" t="inlineStr">
        <is>
          <t>Itemization without log complexity</t>
        </is>
      </c>
      <c r="D5" t="inlineStr">
        <is>
          <t>Vehicle classes are balanced</t>
        </is>
      </c>
    </row>
    <row r="6">
      <c r="A6">
        <v>4</v>
      </c>
      <c r="B6" t="inlineStr">
        <is>
          <t>Triggered standard modules</t>
        </is>
      </c>
      <c r="C6" t="inlineStr">
        <is>
          <t>Build variety</t>
        </is>
      </c>
      <c r="D6" t="inlineStr">
        <is>
          <t>Passive modules feel flat</t>
        </is>
      </c>
    </row>
    <row r="7">
      <c r="A7">
        <v>5</v>
      </c>
      <c r="B7" t="inlineStr">
        <is>
          <t>Cooldown specials</t>
        </is>
      </c>
      <c r="C7" t="inlineStr">
        <is>
          <t>Signature vehicle/module moments</t>
        </is>
      </c>
      <c r="D7" t="inlineStr">
        <is>
          <t>Logs remain readable</t>
        </is>
      </c>
    </row>
    <row r="8">
      <c r="A8">
        <v>6</v>
      </c>
      <c r="B8" t="inlineStr">
        <is>
          <t>Overdrives</t>
        </is>
      </c>
      <c r="C8" t="inlineStr">
        <is>
          <t>Rare fight-swinging abilities</t>
        </is>
      </c>
      <c r="D8" t="inlineStr">
        <is>
          <t>Core plus modules are fun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Neon Fabs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Neon Fabs Balance Model</dc:title>
  <dc:creator>Codex</dc:creator>
</cp:coreProperties>
</file>